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78ED7F6F-7398-4BA2-A6CB-508DF0F4A0D0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KV 100 - GF30-10.5" sheetId="1" r:id="rId1"/>
    <sheet name="KV 100 - MF3016" sheetId="2" r:id="rId2"/>
    <sheet name="KV 100 - G3211" sheetId="3" r:id="rId3"/>
    <sheet name="KV 100 - MF3218" sheetId="5" r:id="rId4"/>
    <sheet name="KV 120 - G3010.5" sheetId="6" r:id="rId5"/>
    <sheet name="KV 120 - MF3016" sheetId="7" r:id="rId6"/>
    <sheet name="KV 120 - G299.5" sheetId="8" r:id="rId7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" i="3" l="1"/>
  <c r="E12" i="3"/>
  <c r="F2" i="3"/>
  <c r="J5" i="3"/>
  <c r="G20" i="3"/>
  <c r="F8" i="3"/>
  <c r="F6" i="3"/>
  <c r="H16" i="2"/>
  <c r="F6" i="2"/>
  <c r="F3" i="2"/>
  <c r="E8" i="2"/>
  <c r="F9" i="2"/>
  <c r="F8" i="2"/>
  <c r="J3" i="2"/>
  <c r="H9" i="2"/>
  <c r="H8" i="2"/>
  <c r="J5" i="1" l="1"/>
  <c r="J4" i="1"/>
  <c r="F12" i="1"/>
  <c r="F11" i="1"/>
  <c r="F7" i="1"/>
  <c r="F6" i="1"/>
  <c r="F5" i="1"/>
  <c r="F4" i="1"/>
  <c r="J3" i="1"/>
  <c r="G12" i="1"/>
  <c r="E21" i="1"/>
  <c r="E22" i="1"/>
  <c r="E11" i="1"/>
  <c r="E7" i="1"/>
</calcChain>
</file>

<file path=xl/sharedStrings.xml><?xml version="1.0" encoding="utf-8"?>
<sst xmlns="http://schemas.openxmlformats.org/spreadsheetml/2006/main" count="378" uniqueCount="20">
  <si>
    <t>Type</t>
  </si>
  <si>
    <t>Propeller</t>
  </si>
  <si>
    <t>throttle</t>
  </si>
  <si>
    <t>Voltage [v]</t>
  </si>
  <si>
    <t>Thrust [gram]</t>
  </si>
  <si>
    <t>Torque [N*m]</t>
  </si>
  <si>
    <t>Current [A]</t>
  </si>
  <si>
    <t>RPM</t>
  </si>
  <si>
    <t>Power [W]</t>
  </si>
  <si>
    <t>Thrust/Power</t>
  </si>
  <si>
    <t>KV100</t>
  </si>
  <si>
    <t>GF30 10.5 CF</t>
  </si>
  <si>
    <t>price of motor</t>
  </si>
  <si>
    <t>price of prop</t>
  </si>
  <si>
    <t>MF3016</t>
  </si>
  <si>
    <t>G3211</t>
  </si>
  <si>
    <t>KV120</t>
  </si>
  <si>
    <t>MF3218</t>
  </si>
  <si>
    <t>G3010.5</t>
  </si>
  <si>
    <t>G299.5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</si>
</sst>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.00;###0.00"/>
    <numFmt numFmtId="165" formatCode="###0;###0"/>
  </numFmts>
  <fonts count="6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rgb="FF21252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</fills>
  <borders count="2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2" fillId="0" borderId="0" xfId="0" applyNumberFormat="1" applyFont="1" applyFill="1" applyBorder="1" applyAlignment="1">
      <alignment horizontal="center" vertical="center" wrapText="1"/>
    </xf>
    <xf numFmtId="164" fontId="2" fillId="0" borderId="0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9" fontId="2" fillId="0" borderId="0" xfId="1" applyNumberFormat="1" applyFont="1" applyFill="1" applyBorder="1" applyAlignment="1">
      <alignment horizontal="center" vertical="center" wrapText="1"/>
    </xf>
    <xf numFmtId="49" fontId="2" fillId="0" borderId="0" xfId="1" applyNumberFormat="1" applyFont="1" applyFill="1" applyBorder="1" applyAlignment="1">
      <alignment horizontal="center" vertical="center" wrapText="1"/>
    </xf>
    <xf numFmtId="165" fontId="2" fillId="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 applyAlignment="1">
      <alignment horizontal="center" vertical="center" wrapText="1"/>
    </xf>
    <xf numFmtId="0" fontId="2" fillId="0" borderId="0" xfId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98"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medium">
          <color rgb="FFDEE2E6"/>
        </left>
        <right/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right style="medium">
          <color rgb="FFDEE2E6"/>
        </right>
      </border>
    </dxf>
    <dxf>
      <font>
        <b val="0"/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medium">
          <color rgb="FFDEE2E6"/>
        </left>
        <right/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medium">
          <color rgb="FFDEE2E6"/>
        </left>
        <right/>
      </border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</border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1" indent="0" justifyLastLine="0" shrinkToFit="0" readingOrder="0"/>
      <border outline="0"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medium">
          <color rgb="FFDEE2E6"/>
        </left>
        <right/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rgb="FF212529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  <border outline="0"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22" totalsRowShown="0" headerRowDxfId="97" dataDxfId="96">
  <autoFilter ref="A1:L22" xr:uid="{00000000-0009-0000-0100-000001000000}"/>
  <tableColumns count="12">
    <tableColumn id="1" xr3:uid="{00000000-0010-0000-0000-000001000000}" name="Type" dataDxfId="95"/>
    <tableColumn id="2" xr3:uid="{00000000-0010-0000-0000-000002000000}" name="Propeller" dataDxfId="94"/>
    <tableColumn id="3" xr3:uid="{00000000-0010-0000-0000-000003000000}" name="throttle" dataDxfId="93"/>
    <tableColumn id="4" xr3:uid="{00000000-0010-0000-0000-000004000000}" name="Voltage [v]" dataDxfId="92"/>
    <tableColumn id="5" xr3:uid="{00000000-0010-0000-0000-000005000000}" name="Thrust [gram]" dataDxfId="91"/>
    <tableColumn id="6" xr3:uid="{00000000-0010-0000-0000-000006000000}" name="Torque [N*m]" dataDxfId="90"/>
    <tableColumn id="7" xr3:uid="{00000000-0010-0000-0000-000007000000}" name="Current [A]" dataDxfId="89"/>
    <tableColumn id="8" xr3:uid="{00000000-0010-0000-0000-000008000000}" name="RPM" dataDxfId="88"/>
    <tableColumn id="9" xr3:uid="{00000000-0010-0000-0000-000009000000}" name="Power [W]" dataDxfId="87"/>
    <tableColumn id="10" xr3:uid="{00000000-0010-0000-0000-00000A000000}" name="Thrust/Power" dataDxfId="86"/>
    <tableColumn id="11" xr3:uid="{00000000-0010-0000-0000-00000B000000}" name="price of motor" dataDxfId="85"/>
    <tableColumn id="12" xr3:uid="{00000000-0010-0000-0000-00000C000000}" name="price of prop" dataDxfId="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14" displayName="Table14" ref="A1:L22" totalsRowShown="0" headerRowDxfId="83" dataDxfId="82">
  <autoFilter ref="A1:L22" xr:uid="{00000000-0009-0000-0100-000003000000}"/>
  <tableColumns count="12">
    <tableColumn id="1" xr3:uid="{00000000-0010-0000-0100-000001000000}" name="Type" dataDxfId="81"/>
    <tableColumn id="2" xr3:uid="{00000000-0010-0000-0100-000002000000}" name="Propeller" dataDxfId="80"/>
    <tableColumn id="3" xr3:uid="{00000000-0010-0000-0100-000003000000}" name="throttle" dataDxfId="79"/>
    <tableColumn id="4" xr3:uid="{00000000-0010-0000-0100-000004000000}" name="Voltage [v]" dataDxfId="78"/>
    <tableColumn id="5" xr3:uid="{00000000-0010-0000-0100-000005000000}" name="Thrust [gram]" dataDxfId="77"/>
    <tableColumn id="6" xr3:uid="{00000000-0010-0000-0100-000006000000}" name="Torque [N*m]" dataDxfId="76"/>
    <tableColumn id="7" xr3:uid="{00000000-0010-0000-0100-000007000000}" name="Current [A]" dataDxfId="75"/>
    <tableColumn id="8" xr3:uid="{00000000-0010-0000-0100-000008000000}" name="RPM" dataDxfId="74"/>
    <tableColumn id="9" xr3:uid="{00000000-0010-0000-0100-000009000000}" name="Power [W]" dataDxfId="73"/>
    <tableColumn id="10" xr3:uid="{00000000-0010-0000-0100-00000A000000}" name="Thrust/Power" dataDxfId="72"/>
    <tableColumn id="11" xr3:uid="{00000000-0010-0000-0100-00000B000000}" name="price of motor" dataDxfId="71"/>
    <tableColumn id="12" xr3:uid="{00000000-0010-0000-0100-00000C000000}" name="price of prop" dataDxfId="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2528B7-4885-4201-B8C9-3DABCE800FEF}" name="Table143" displayName="Table143" ref="A1:L22" totalsRowShown="0" headerRowDxfId="69" dataDxfId="68">
  <autoFilter ref="A1:L22" xr:uid="{00000000-0009-0000-0100-000003000000}"/>
  <tableColumns count="12">
    <tableColumn id="1" xr3:uid="{EC30D772-97A8-4E5B-BBE5-E98987504331}" name="Type" dataDxfId="67"/>
    <tableColumn id="2" xr3:uid="{C96ADCB1-A87E-4704-9C59-55E489CA0230}" name="Propeller" dataDxfId="66"/>
    <tableColumn id="3" xr3:uid="{6313B4ED-E05E-4C74-A991-C805544FDC62}" name="throttle" dataDxfId="65"/>
    <tableColumn id="4" xr3:uid="{3501B424-6343-498B-A241-60E753042078}" name="Voltage [v]" dataDxfId="64"/>
    <tableColumn id="5" xr3:uid="{C6C827A1-148F-45DC-B345-8D6F443B6FD4}" name="Thrust [gram]" dataDxfId="63"/>
    <tableColumn id="6" xr3:uid="{0B70729B-141D-4F80-8E6A-453A1E8CF67B}" name="Torque [N*m]" dataDxfId="62"/>
    <tableColumn id="7" xr3:uid="{F49953EF-10C5-40B7-8D26-95D5509F8FDC}" name="Current [A]" dataDxfId="61"/>
    <tableColumn id="8" xr3:uid="{87499E6B-EC4C-4A64-90C5-C3BCC72CE03F}" name="RPM" dataDxfId="60"/>
    <tableColumn id="9" xr3:uid="{D213B0ED-44B7-4C43-9C83-0098D6CD2AA3}" name="Power [W]" dataDxfId="59"/>
    <tableColumn id="10" xr3:uid="{C52959E8-6108-4F28-81F4-37C10DE66548}" name="Thrust/Power" dataDxfId="58"/>
    <tableColumn id="11" xr3:uid="{9B1ED5F1-6D56-4138-BC79-2999BAA9712A}" name="price of motor" dataDxfId="57"/>
    <tableColumn id="12" xr3:uid="{3DDCB271-5D13-4F6C-BDB9-7CEA08D1E1E8}" name="price of prop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4C0C61-8064-48E9-A4AA-4F7DCEB228DB}" name="Table1435" displayName="Table1435" ref="A1:L22" totalsRowShown="0" headerRowDxfId="55" dataDxfId="42">
  <autoFilter ref="A1:L22" xr:uid="{00000000-0009-0000-0100-000003000000}"/>
  <tableColumns count="12">
    <tableColumn id="1" xr3:uid="{A412AA80-7755-4949-8273-C0F3FE6BDFA1}" name="Type" dataDxfId="54"/>
    <tableColumn id="2" xr3:uid="{33370E58-FA21-472F-A183-30D82543FCD8}" name="Propeller" dataDxfId="53"/>
    <tableColumn id="3" xr3:uid="{E0467680-646D-4291-AE1E-B88929E7AB63}" name="throttle" dataDxfId="52"/>
    <tableColumn id="4" xr3:uid="{A45BD22E-C0E1-4101-A8E6-26EA32BD16BA}" name="Voltage [v]" dataDxfId="51"/>
    <tableColumn id="5" xr3:uid="{382705E3-84EF-42B9-B183-02BC8ED18D4B}" name="Thrust [gram]" dataDxfId="50"/>
    <tableColumn id="6" xr3:uid="{AF407D2E-FB53-4413-9223-3AA16F919D1E}" name="Torque [N*m]" dataDxfId="49"/>
    <tableColumn id="7" xr3:uid="{3AF9044B-CCE4-4D25-BF73-A9D8CCB7EAD9}" name="Current [A]" dataDxfId="48"/>
    <tableColumn id="8" xr3:uid="{BF5A5205-5F8A-4A29-9AA4-D8D42A277C9D}" name="RPM" dataDxfId="47"/>
    <tableColumn id="9" xr3:uid="{16AA67C1-A72F-457E-BB7D-6F17C671AE70}" name="Power [W]" dataDxfId="46"/>
    <tableColumn id="10" xr3:uid="{51F09B7A-556B-4EAB-9610-D4B013D5493A}" name="Thrust/Power" dataDxfId="45"/>
    <tableColumn id="11" xr3:uid="{29536400-39F9-4827-BE12-30D2772782AE}" name="price of motor" dataDxfId="44"/>
    <tableColumn id="12" xr3:uid="{88B48DDF-2032-4DD2-971A-B318840CD521}" name="price of prop" dataDxfId="4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47AA2B-5101-4A12-9AF9-8980B1941781}" name="Table14356" displayName="Table14356" ref="A1:L22" totalsRowShown="0" headerRowDxfId="41" dataDxfId="28">
  <autoFilter ref="A1:L22" xr:uid="{00000000-0009-0000-0100-000003000000}"/>
  <tableColumns count="12">
    <tableColumn id="1" xr3:uid="{CB924DC6-30EF-44CF-B87D-960FEAB3EB87}" name="Type" dataDxfId="40"/>
    <tableColumn id="2" xr3:uid="{1D96BE9A-35B2-4B6B-9945-89D3FD23FCAD}" name="Propeller" dataDxfId="39"/>
    <tableColumn id="3" xr3:uid="{E0938871-0D00-4530-B93C-A07205E3A48E}" name="throttle" dataDxfId="38"/>
    <tableColumn id="4" xr3:uid="{746488A5-F4DF-4AFF-AC48-5C90880A43A4}" name="Voltage [v]" dataDxfId="37"/>
    <tableColumn id="5" xr3:uid="{4B8B9B5F-6991-4C4D-A677-59FFDB4BAC39}" name="Thrust [gram]" dataDxfId="36"/>
    <tableColumn id="6" xr3:uid="{D0131166-B987-493D-A695-F12EB3FEBE98}" name="Torque [N*m]" dataDxfId="35"/>
    <tableColumn id="7" xr3:uid="{8F492231-EC06-49D3-8034-6EF84E8701CE}" name="Current [A]" dataDxfId="34"/>
    <tableColumn id="8" xr3:uid="{BAC02839-E3D5-4D6B-8062-54FB08EBC17B}" name="RPM" dataDxfId="33"/>
    <tableColumn id="9" xr3:uid="{6148CE73-F641-4DF7-8171-A595D5FB84EA}" name="Power [W]" dataDxfId="32"/>
    <tableColumn id="10" xr3:uid="{005C529B-4839-4D04-B6F8-5C416CDEFF7F}" name="Thrust/Power" dataDxfId="31"/>
    <tableColumn id="11" xr3:uid="{E6A6410C-DABC-4045-8A87-0C60CDFF6D45}" name="price of motor" dataDxfId="30"/>
    <tableColumn id="12" xr3:uid="{B34BBBF6-C994-4968-B888-EF10035EE707}" name="price of prop" dataDxfId="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C49B59-21E0-4A12-BC95-9C3564F5A49F}" name="Table143567" displayName="Table143567" ref="A1:L22" totalsRowShown="0" headerRowDxfId="27" dataDxfId="14">
  <autoFilter ref="A1:L22" xr:uid="{00000000-0009-0000-0100-000003000000}"/>
  <tableColumns count="12">
    <tableColumn id="1" xr3:uid="{086601D7-A6D6-40AE-9539-67081A1988FA}" name="Type" dataDxfId="26"/>
    <tableColumn id="2" xr3:uid="{1D30D02A-E42E-4CB1-914F-2A7AA86A1415}" name="Propeller" dataDxfId="25"/>
    <tableColumn id="3" xr3:uid="{9CAD1E72-8E6B-41F0-B7DE-29A7C9A88198}" name="throttle" dataDxfId="24"/>
    <tableColumn id="4" xr3:uid="{A6138A34-7BE9-436A-A593-B0DBD0B6F7E1}" name="Voltage [v]" dataDxfId="23"/>
    <tableColumn id="5" xr3:uid="{7359C284-1E67-431D-9907-E94BCF2978E8}" name="Thrust [gram]" dataDxfId="22"/>
    <tableColumn id="6" xr3:uid="{2CE5C8E1-8BD4-4D9F-A1AB-EECEB85194D1}" name="Torque [N*m]" dataDxfId="21"/>
    <tableColumn id="7" xr3:uid="{D92FEDA2-6AB8-40A5-A086-7C2B9F472F25}" name="Current [A]" dataDxfId="20"/>
    <tableColumn id="8" xr3:uid="{5E6273BC-05DD-49C2-99C0-C868C3D7EE11}" name="RPM" dataDxfId="19"/>
    <tableColumn id="9" xr3:uid="{9AAB7D11-1A43-4A92-9CC9-7912FE47CE8C}" name="Power [W]" dataDxfId="18"/>
    <tableColumn id="10" xr3:uid="{D8A75D37-846E-4D51-B110-4CFE66D0C4BC}" name="Thrust/Power" dataDxfId="17"/>
    <tableColumn id="11" xr3:uid="{D905113E-5DCA-4BC3-8078-2367EBFB114A}" name="price of motor" dataDxfId="16"/>
    <tableColumn id="12" xr3:uid="{D4E0B958-6988-40F7-94AC-E93CD5D9333C}" name="price of prop" dataDxfId="1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05AB934-43D4-40C0-9685-51D1FAF3D9C4}" name="Table1435678" displayName="Table1435678" ref="A1:L22" totalsRowShown="0" headerRowDxfId="13" dataDxfId="12">
  <autoFilter ref="A1:L22" xr:uid="{00000000-0009-0000-0100-000003000000}"/>
  <tableColumns count="12">
    <tableColumn id="1" xr3:uid="{2F024797-5978-4966-9361-9C7F5AFF06C1}" name="Type" dataDxfId="11"/>
    <tableColumn id="2" xr3:uid="{62A6D026-0D36-483A-AC93-49BAF3F5389C}" name="Propeller" dataDxfId="9"/>
    <tableColumn id="3" xr3:uid="{B77F5565-6F61-4F97-908C-30F6BB249940}" name="throttle" dataDxfId="8"/>
    <tableColumn id="4" xr3:uid="{17658B7D-3079-4F07-87B6-686DDE949576}" name="Voltage [v]" dataDxfId="7"/>
    <tableColumn id="5" xr3:uid="{47ED43BA-B4D9-437F-B283-266939532A65}" name="Thrust [gram]" dataDxfId="6"/>
    <tableColumn id="6" xr3:uid="{5FD7A27F-5E92-4353-A93B-80F8251B2401}" name="Torque [N*m]" dataDxfId="5"/>
    <tableColumn id="7" xr3:uid="{D64A72DA-65C9-4043-BAEC-319A3D4A4361}" name="Current [A]" dataDxfId="4"/>
    <tableColumn id="8" xr3:uid="{ACFA6466-AC2C-463A-9F1A-8B79B45CF2EF}" name="RPM" dataDxfId="3"/>
    <tableColumn id="9" xr3:uid="{82A1DADE-4BBB-4801-86E1-7858F293A1AE}" name="Power [W]" dataDxfId="2"/>
    <tableColumn id="10" xr3:uid="{D4A5F4F0-E970-404A-80DB-0981847CBE4A}" name="Thrust/Power" dataDxfId="0"/>
    <tableColumn id="11" xr3:uid="{E0B65DA9-6300-4FF3-A05A-400BD597C7EC}" name="price of motor" dataDxfId="1"/>
    <tableColumn id="12" xr3:uid="{6FF38A66-71EE-460B-9E1F-F4D91B12D472}" name="price of prop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workbookViewId="0">
      <selection activeCell="M2" sqref="M2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2" width="21.425781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5.75" x14ac:dyDescent="0.25">
      <c r="A2" s="2" t="s">
        <v>10</v>
      </c>
      <c r="B2" s="2" t="s">
        <v>11</v>
      </c>
      <c r="C2" s="7">
        <v>0.4</v>
      </c>
      <c r="D2" s="8">
        <v>47.91</v>
      </c>
      <c r="E2" s="9">
        <v>2850</v>
      </c>
      <c r="F2" s="10">
        <v>0.97</v>
      </c>
      <c r="G2" s="10">
        <v>4.97</v>
      </c>
      <c r="H2" s="9">
        <v>1719</v>
      </c>
      <c r="I2" s="9">
        <v>238</v>
      </c>
      <c r="J2" s="10">
        <v>11.96</v>
      </c>
      <c r="K2" s="2">
        <v>199.9</v>
      </c>
      <c r="L2" s="12">
        <v>357.9</v>
      </c>
    </row>
    <row r="3" spans="1:12" ht="15.75" x14ac:dyDescent="0.25">
      <c r="A3" s="2" t="s">
        <v>10</v>
      </c>
      <c r="B3" s="2" t="s">
        <v>11</v>
      </c>
      <c r="C3" s="7">
        <v>0.42</v>
      </c>
      <c r="D3" s="8">
        <v>47.9</v>
      </c>
      <c r="E3" s="9">
        <v>3108</v>
      </c>
      <c r="F3" s="10">
        <v>1.06</v>
      </c>
      <c r="G3" s="10">
        <v>5.54</v>
      </c>
      <c r="H3" s="9">
        <v>1783</v>
      </c>
      <c r="I3" s="9">
        <v>265</v>
      </c>
      <c r="J3" s="11">
        <f>11.72</f>
        <v>11.72</v>
      </c>
      <c r="K3" s="2">
        <v>199.9</v>
      </c>
      <c r="L3" s="12">
        <v>357.9</v>
      </c>
    </row>
    <row r="4" spans="1:12" ht="15.75" x14ac:dyDescent="0.25">
      <c r="A4" s="2" t="s">
        <v>10</v>
      </c>
      <c r="B4" s="2" t="s">
        <v>11</v>
      </c>
      <c r="C4" s="7">
        <v>0.44</v>
      </c>
      <c r="D4" s="8">
        <v>47.88</v>
      </c>
      <c r="E4" s="9">
        <v>3331</v>
      </c>
      <c r="F4" s="11">
        <f>1.13</f>
        <v>1.1299999999999999</v>
      </c>
      <c r="G4" s="10">
        <v>6.07</v>
      </c>
      <c r="H4" s="9">
        <v>1849</v>
      </c>
      <c r="I4" s="9">
        <v>291</v>
      </c>
      <c r="J4" s="11">
        <f>11.46</f>
        <v>11.46</v>
      </c>
      <c r="K4" s="2">
        <v>199.9</v>
      </c>
      <c r="L4" s="12">
        <v>357.9</v>
      </c>
    </row>
    <row r="5" spans="1:12" ht="15.75" x14ac:dyDescent="0.25">
      <c r="A5" s="2" t="s">
        <v>10</v>
      </c>
      <c r="B5" s="2" t="s">
        <v>11</v>
      </c>
      <c r="C5" s="7">
        <v>0.46</v>
      </c>
      <c r="D5" s="8">
        <v>47.87</v>
      </c>
      <c r="E5" s="9">
        <v>3571</v>
      </c>
      <c r="F5" s="11">
        <f>1.22</f>
        <v>1.22</v>
      </c>
      <c r="G5" s="10">
        <v>6.65</v>
      </c>
      <c r="H5" s="9">
        <v>1913</v>
      </c>
      <c r="I5" s="9">
        <v>318</v>
      </c>
      <c r="J5" s="11">
        <f>11.23</f>
        <v>11.23</v>
      </c>
      <c r="K5" s="2">
        <v>199.9</v>
      </c>
      <c r="L5" s="12">
        <v>357.9</v>
      </c>
    </row>
    <row r="6" spans="1:12" ht="15.75" x14ac:dyDescent="0.25">
      <c r="A6" s="2" t="s">
        <v>10</v>
      </c>
      <c r="B6" s="2" t="s">
        <v>11</v>
      </c>
      <c r="C6" s="7">
        <v>0.48</v>
      </c>
      <c r="D6" s="8">
        <v>47.87</v>
      </c>
      <c r="E6" s="9">
        <v>3859</v>
      </c>
      <c r="F6" s="11">
        <f>1.3</f>
        <v>1.3</v>
      </c>
      <c r="G6" s="10">
        <v>7.29</v>
      </c>
      <c r="H6" s="9">
        <v>1981</v>
      </c>
      <c r="I6" s="9">
        <v>349</v>
      </c>
      <c r="J6" s="10">
        <v>11.06</v>
      </c>
      <c r="K6" s="2">
        <v>199.9</v>
      </c>
      <c r="L6" s="12">
        <v>357.9</v>
      </c>
    </row>
    <row r="7" spans="1:12" ht="15.75" x14ac:dyDescent="0.25">
      <c r="A7" s="2" t="s">
        <v>10</v>
      </c>
      <c r="B7" s="2" t="s">
        <v>11</v>
      </c>
      <c r="C7" s="7">
        <v>0.5</v>
      </c>
      <c r="D7" s="8">
        <v>47.85</v>
      </c>
      <c r="E7" s="11">
        <f>4114</f>
        <v>4114</v>
      </c>
      <c r="F7" s="11">
        <f>1.39</f>
        <v>1.39</v>
      </c>
      <c r="G7" s="10">
        <v>7.99</v>
      </c>
      <c r="H7" s="9">
        <v>2040</v>
      </c>
      <c r="I7" s="9">
        <v>382</v>
      </c>
      <c r="J7" s="10">
        <v>10.77</v>
      </c>
      <c r="K7" s="2">
        <v>199.9</v>
      </c>
      <c r="L7" s="12">
        <v>357.9</v>
      </c>
    </row>
    <row r="8" spans="1:12" ht="15.75" x14ac:dyDescent="0.25">
      <c r="A8" s="2" t="s">
        <v>10</v>
      </c>
      <c r="B8" s="2" t="s">
        <v>11</v>
      </c>
      <c r="C8" s="7">
        <v>0.52</v>
      </c>
      <c r="D8" s="8">
        <v>47.84</v>
      </c>
      <c r="E8" s="9">
        <v>4439</v>
      </c>
      <c r="F8" s="10">
        <v>1.5</v>
      </c>
      <c r="G8" s="10">
        <v>8.8000000000000007</v>
      </c>
      <c r="H8" s="9">
        <v>2125</v>
      </c>
      <c r="I8" s="9">
        <v>421</v>
      </c>
      <c r="J8" s="10">
        <v>10.54</v>
      </c>
      <c r="K8" s="2">
        <v>199.9</v>
      </c>
      <c r="L8" s="12">
        <v>357.9</v>
      </c>
    </row>
    <row r="9" spans="1:12" ht="15.75" x14ac:dyDescent="0.25">
      <c r="A9" s="2" t="s">
        <v>10</v>
      </c>
      <c r="B9" s="2" t="s">
        <v>11</v>
      </c>
      <c r="C9" s="7">
        <v>0.54</v>
      </c>
      <c r="D9" s="8">
        <v>47.81</v>
      </c>
      <c r="E9" s="9">
        <v>4748</v>
      </c>
      <c r="F9" s="10">
        <v>1.61</v>
      </c>
      <c r="G9" s="10">
        <v>9.8000000000000007</v>
      </c>
      <c r="H9" s="9">
        <v>2204</v>
      </c>
      <c r="I9" s="9">
        <v>468</v>
      </c>
      <c r="J9" s="10">
        <v>10.14</v>
      </c>
      <c r="K9" s="2">
        <v>199.9</v>
      </c>
      <c r="L9" s="12">
        <v>357.9</v>
      </c>
    </row>
    <row r="10" spans="1:12" ht="15.75" x14ac:dyDescent="0.25">
      <c r="A10" s="2" t="s">
        <v>10</v>
      </c>
      <c r="B10" s="2" t="s">
        <v>11</v>
      </c>
      <c r="C10" s="7">
        <v>0.56000000000000005</v>
      </c>
      <c r="D10" s="8">
        <v>47.79</v>
      </c>
      <c r="E10" s="9">
        <v>5143</v>
      </c>
      <c r="F10" s="10">
        <v>1.75</v>
      </c>
      <c r="G10" s="10">
        <v>10.89</v>
      </c>
      <c r="H10" s="9">
        <v>2292</v>
      </c>
      <c r="I10" s="9">
        <v>520</v>
      </c>
      <c r="J10" s="10">
        <v>9.8800000000000008</v>
      </c>
      <c r="K10" s="2">
        <v>199.9</v>
      </c>
      <c r="L10" s="12">
        <v>357.9</v>
      </c>
    </row>
    <row r="11" spans="1:12" ht="15.75" x14ac:dyDescent="0.25">
      <c r="A11" s="2" t="s">
        <v>10</v>
      </c>
      <c r="B11" s="2" t="s">
        <v>11</v>
      </c>
      <c r="C11" s="7">
        <v>0.57999999999999996</v>
      </c>
      <c r="D11" s="8">
        <v>47.76</v>
      </c>
      <c r="E11" s="11">
        <f>5515</f>
        <v>5515</v>
      </c>
      <c r="F11" s="11">
        <f>1.88</f>
        <v>1.88</v>
      </c>
      <c r="G11" s="10">
        <v>12.2</v>
      </c>
      <c r="H11" s="9">
        <v>2386</v>
      </c>
      <c r="I11" s="9">
        <v>582</v>
      </c>
      <c r="J11" s="10">
        <v>9.4700000000000006</v>
      </c>
      <c r="K11" s="2">
        <v>199.9</v>
      </c>
      <c r="L11" s="12">
        <v>357.9</v>
      </c>
    </row>
    <row r="12" spans="1:12" ht="15.75" x14ac:dyDescent="0.25">
      <c r="A12" s="2" t="s">
        <v>10</v>
      </c>
      <c r="B12" s="2" t="s">
        <v>11</v>
      </c>
      <c r="C12" s="7">
        <v>0.6</v>
      </c>
      <c r="D12" s="8">
        <v>47.75</v>
      </c>
      <c r="E12" s="9">
        <v>5886</v>
      </c>
      <c r="F12" s="11">
        <f>1.99</f>
        <v>1.99</v>
      </c>
      <c r="G12" s="11">
        <f>13.11</f>
        <v>13.11</v>
      </c>
      <c r="H12" s="9">
        <v>2459</v>
      </c>
      <c r="I12" s="9">
        <v>626</v>
      </c>
      <c r="J12" s="10">
        <v>9.41</v>
      </c>
      <c r="K12" s="2">
        <v>199.9</v>
      </c>
      <c r="L12" s="12">
        <v>357.9</v>
      </c>
    </row>
    <row r="13" spans="1:12" ht="15.75" x14ac:dyDescent="0.25">
      <c r="A13" s="2" t="s">
        <v>10</v>
      </c>
      <c r="B13" s="2" t="s">
        <v>11</v>
      </c>
      <c r="C13" s="7">
        <v>0.62</v>
      </c>
      <c r="D13" s="8">
        <v>47.72</v>
      </c>
      <c r="E13" s="9">
        <v>6306</v>
      </c>
      <c r="F13" s="10">
        <v>2.14</v>
      </c>
      <c r="G13" s="10">
        <v>14.39</v>
      </c>
      <c r="H13" s="9">
        <v>2531</v>
      </c>
      <c r="I13" s="9">
        <v>687</v>
      </c>
      <c r="J13" s="10">
        <v>9.18</v>
      </c>
      <c r="K13" s="2">
        <v>199.9</v>
      </c>
      <c r="L13" s="12">
        <v>357.9</v>
      </c>
    </row>
    <row r="14" spans="1:12" ht="15.75" x14ac:dyDescent="0.25">
      <c r="A14" s="2" t="s">
        <v>10</v>
      </c>
      <c r="B14" s="2" t="s">
        <v>11</v>
      </c>
      <c r="C14" s="7">
        <v>0.64</v>
      </c>
      <c r="D14" s="8">
        <v>47.71</v>
      </c>
      <c r="E14" s="9">
        <v>6649</v>
      </c>
      <c r="F14" s="10">
        <v>2.25</v>
      </c>
      <c r="G14" s="10">
        <v>15.56</v>
      </c>
      <c r="H14" s="9">
        <v>2610</v>
      </c>
      <c r="I14" s="9">
        <v>742</v>
      </c>
      <c r="J14" s="10">
        <v>8.9600000000000009</v>
      </c>
      <c r="K14" s="2">
        <v>199.9</v>
      </c>
      <c r="L14" s="12">
        <v>357.9</v>
      </c>
    </row>
    <row r="15" spans="1:12" ht="15.75" x14ac:dyDescent="0.25">
      <c r="A15" s="2" t="s">
        <v>10</v>
      </c>
      <c r="B15" s="2" t="s">
        <v>11</v>
      </c>
      <c r="C15" s="7">
        <v>0.66</v>
      </c>
      <c r="D15" s="8">
        <v>47.67</v>
      </c>
      <c r="E15" s="9">
        <v>7061</v>
      </c>
      <c r="F15" s="10">
        <v>2.39</v>
      </c>
      <c r="G15" s="10">
        <v>17</v>
      </c>
      <c r="H15" s="9">
        <v>2683</v>
      </c>
      <c r="I15" s="9">
        <v>810</v>
      </c>
      <c r="J15" s="10">
        <v>8.7200000000000006</v>
      </c>
      <c r="K15" s="2">
        <v>199.9</v>
      </c>
      <c r="L15" s="12">
        <v>357.9</v>
      </c>
    </row>
    <row r="16" spans="1:12" ht="15.75" x14ac:dyDescent="0.25">
      <c r="A16" s="2" t="s">
        <v>10</v>
      </c>
      <c r="B16" s="2" t="s">
        <v>11</v>
      </c>
      <c r="C16" s="7">
        <v>0.68</v>
      </c>
      <c r="D16" s="8">
        <v>47.66</v>
      </c>
      <c r="E16" s="9">
        <v>7434</v>
      </c>
      <c r="F16" s="10">
        <v>2.5099999999999998</v>
      </c>
      <c r="G16" s="10">
        <v>18.22</v>
      </c>
      <c r="H16" s="9">
        <v>2755</v>
      </c>
      <c r="I16" s="9">
        <v>868</v>
      </c>
      <c r="J16" s="10">
        <v>8.56</v>
      </c>
      <c r="K16" s="2">
        <v>199.9</v>
      </c>
      <c r="L16" s="12">
        <v>357.9</v>
      </c>
    </row>
    <row r="17" spans="1:12" ht="15.75" x14ac:dyDescent="0.25">
      <c r="A17" s="2" t="s">
        <v>10</v>
      </c>
      <c r="B17" s="2" t="s">
        <v>11</v>
      </c>
      <c r="C17" s="7">
        <v>0.7</v>
      </c>
      <c r="D17" s="8">
        <v>47.62</v>
      </c>
      <c r="E17" s="9">
        <v>7886</v>
      </c>
      <c r="F17" s="10">
        <v>2.67</v>
      </c>
      <c r="G17" s="10">
        <v>20.149999999999999</v>
      </c>
      <c r="H17" s="9">
        <v>2836</v>
      </c>
      <c r="I17" s="9">
        <v>960</v>
      </c>
      <c r="J17" s="10">
        <v>8.2200000000000006</v>
      </c>
      <c r="K17" s="2">
        <v>199.9</v>
      </c>
      <c r="L17" s="12">
        <v>357.9</v>
      </c>
    </row>
    <row r="18" spans="1:12" ht="15.75" x14ac:dyDescent="0.25">
      <c r="A18" s="2" t="s">
        <v>10</v>
      </c>
      <c r="B18" s="2" t="s">
        <v>11</v>
      </c>
      <c r="C18" s="7">
        <v>0.76</v>
      </c>
      <c r="D18" s="8">
        <v>47.54</v>
      </c>
      <c r="E18" s="9">
        <v>9074</v>
      </c>
      <c r="F18" s="10">
        <v>3.07</v>
      </c>
      <c r="G18" s="10">
        <v>24.34</v>
      </c>
      <c r="H18" s="9">
        <v>3030</v>
      </c>
      <c r="I18" s="9">
        <v>1157</v>
      </c>
      <c r="J18" s="10">
        <v>7.84</v>
      </c>
      <c r="K18" s="2">
        <v>199.9</v>
      </c>
      <c r="L18" s="12">
        <v>357.9</v>
      </c>
    </row>
    <row r="19" spans="1:12" ht="15.75" x14ac:dyDescent="0.25">
      <c r="A19" s="2" t="s">
        <v>10</v>
      </c>
      <c r="B19" s="2" t="s">
        <v>11</v>
      </c>
      <c r="C19" s="7">
        <v>0.82</v>
      </c>
      <c r="D19" s="8">
        <v>47.45</v>
      </c>
      <c r="E19" s="9">
        <v>10215</v>
      </c>
      <c r="F19" s="10">
        <v>3.45</v>
      </c>
      <c r="G19" s="10">
        <v>29.34</v>
      </c>
      <c r="H19" s="9">
        <v>3223</v>
      </c>
      <c r="I19" s="9">
        <v>1392</v>
      </c>
      <c r="J19" s="10">
        <v>7.34</v>
      </c>
      <c r="K19" s="2">
        <v>199.9</v>
      </c>
      <c r="L19" s="12">
        <v>357.9</v>
      </c>
    </row>
    <row r="20" spans="1:12" ht="15.75" x14ac:dyDescent="0.25">
      <c r="A20" s="2" t="s">
        <v>10</v>
      </c>
      <c r="B20" s="2" t="s">
        <v>11</v>
      </c>
      <c r="C20" s="7">
        <v>0.88</v>
      </c>
      <c r="D20" s="8">
        <v>47.36</v>
      </c>
      <c r="E20" s="9">
        <v>11500</v>
      </c>
      <c r="F20" s="10">
        <v>3.88</v>
      </c>
      <c r="G20" s="10">
        <v>34.75</v>
      </c>
      <c r="H20" s="9">
        <v>3397</v>
      </c>
      <c r="I20" s="9">
        <v>1646</v>
      </c>
      <c r="J20" s="10">
        <v>6.99</v>
      </c>
      <c r="K20" s="2">
        <v>199.9</v>
      </c>
      <c r="L20" s="12">
        <v>357.9</v>
      </c>
    </row>
    <row r="21" spans="1:12" ht="15.75" x14ac:dyDescent="0.25">
      <c r="A21" s="2" t="s">
        <v>10</v>
      </c>
      <c r="B21" s="2" t="s">
        <v>11</v>
      </c>
      <c r="C21" s="7">
        <v>0.94</v>
      </c>
      <c r="D21" s="8">
        <v>47.26</v>
      </c>
      <c r="E21" s="9">
        <f>12603</f>
        <v>12603</v>
      </c>
      <c r="F21" s="10">
        <v>4.28</v>
      </c>
      <c r="G21" s="10">
        <v>40.33</v>
      </c>
      <c r="H21" s="9">
        <v>3569</v>
      </c>
      <c r="I21" s="9">
        <v>1906</v>
      </c>
      <c r="J21" s="10">
        <v>6.61</v>
      </c>
      <c r="K21" s="2">
        <v>199.9</v>
      </c>
      <c r="L21" s="12">
        <v>357.9</v>
      </c>
    </row>
    <row r="22" spans="1:12" ht="15.75" x14ac:dyDescent="0.25">
      <c r="A22" s="2" t="s">
        <v>10</v>
      </c>
      <c r="B22" s="2" t="s">
        <v>11</v>
      </c>
      <c r="C22" s="7">
        <v>1</v>
      </c>
      <c r="D22" s="8">
        <v>47.15</v>
      </c>
      <c r="E22" s="11">
        <f>14011</f>
        <v>14011</v>
      </c>
      <c r="F22" s="10">
        <v>4.78</v>
      </c>
      <c r="G22" s="10">
        <v>46.99</v>
      </c>
      <c r="H22" s="9">
        <v>3747</v>
      </c>
      <c r="I22" s="9">
        <v>2215</v>
      </c>
      <c r="J22" s="10">
        <v>6.33</v>
      </c>
      <c r="K22" s="2">
        <v>199.9</v>
      </c>
      <c r="L22" s="12">
        <v>357.9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workbookViewId="0">
      <selection activeCell="H17" sqref="H17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2" width="21.425781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5.75" x14ac:dyDescent="0.25">
      <c r="A2" s="2" t="s">
        <v>10</v>
      </c>
      <c r="B2" s="2" t="s">
        <v>14</v>
      </c>
      <c r="C2" s="3">
        <v>0.4</v>
      </c>
      <c r="D2" s="4">
        <v>47.89</v>
      </c>
      <c r="E2" s="5">
        <v>3050</v>
      </c>
      <c r="F2" s="4">
        <v>1.0900000000000001</v>
      </c>
      <c r="G2" s="4">
        <v>5.32</v>
      </c>
      <c r="H2" s="5">
        <v>1712</v>
      </c>
      <c r="I2" s="5">
        <v>255</v>
      </c>
      <c r="J2" s="4">
        <v>11.97</v>
      </c>
      <c r="K2" s="2">
        <v>199.9</v>
      </c>
      <c r="L2" s="2">
        <v>89.9</v>
      </c>
    </row>
    <row r="3" spans="1:12" ht="15.75" x14ac:dyDescent="0.25">
      <c r="A3" s="2" t="s">
        <v>10</v>
      </c>
      <c r="B3" s="2" t="s">
        <v>14</v>
      </c>
      <c r="C3" s="3">
        <v>0.42</v>
      </c>
      <c r="D3" s="4">
        <v>47.88</v>
      </c>
      <c r="E3" s="5">
        <v>3296</v>
      </c>
      <c r="F3" s="6">
        <f>1.18</f>
        <v>1.18</v>
      </c>
      <c r="G3" s="4">
        <v>5.9</v>
      </c>
      <c r="H3" s="5">
        <v>1769</v>
      </c>
      <c r="I3" s="5">
        <v>282</v>
      </c>
      <c r="J3" s="6">
        <f>11.67</f>
        <v>11.67</v>
      </c>
      <c r="K3" s="2">
        <v>199.9</v>
      </c>
      <c r="L3" s="2">
        <v>89.9</v>
      </c>
    </row>
    <row r="4" spans="1:12" ht="15.75" x14ac:dyDescent="0.25">
      <c r="A4" s="2" t="s">
        <v>10</v>
      </c>
      <c r="B4" s="2" t="s">
        <v>14</v>
      </c>
      <c r="C4" s="3">
        <v>0.44</v>
      </c>
      <c r="D4" s="4">
        <v>47.87</v>
      </c>
      <c r="E4" s="5">
        <v>3508</v>
      </c>
      <c r="F4" s="4">
        <v>1.25</v>
      </c>
      <c r="G4" s="4">
        <v>6.52</v>
      </c>
      <c r="H4" s="5">
        <v>1830</v>
      </c>
      <c r="I4" s="5">
        <v>312</v>
      </c>
      <c r="J4" s="4">
        <v>11.24</v>
      </c>
      <c r="K4" s="2">
        <v>199.9</v>
      </c>
      <c r="L4" s="2">
        <v>89.9</v>
      </c>
    </row>
    <row r="5" spans="1:12" ht="15.75" x14ac:dyDescent="0.25">
      <c r="A5" s="2" t="s">
        <v>10</v>
      </c>
      <c r="B5" s="2" t="s">
        <v>14</v>
      </c>
      <c r="C5" s="3">
        <v>0.46</v>
      </c>
      <c r="D5" s="4">
        <v>47.86</v>
      </c>
      <c r="E5" s="5">
        <v>3729</v>
      </c>
      <c r="F5" s="4">
        <v>1.33</v>
      </c>
      <c r="G5" s="4">
        <v>7.1</v>
      </c>
      <c r="H5" s="5">
        <v>1893</v>
      </c>
      <c r="I5" s="5">
        <v>340</v>
      </c>
      <c r="J5" s="4">
        <v>10.97</v>
      </c>
      <c r="K5" s="2">
        <v>199.9</v>
      </c>
      <c r="L5" s="2">
        <v>89.9</v>
      </c>
    </row>
    <row r="6" spans="1:12" ht="15.75" x14ac:dyDescent="0.25">
      <c r="A6" s="2" t="s">
        <v>10</v>
      </c>
      <c r="B6" s="2" t="s">
        <v>14</v>
      </c>
      <c r="C6" s="3">
        <v>0.48</v>
      </c>
      <c r="D6" s="4">
        <v>47.85</v>
      </c>
      <c r="E6" s="5">
        <v>4020</v>
      </c>
      <c r="F6" s="6">
        <f>1.42</f>
        <v>1.42</v>
      </c>
      <c r="G6" s="4">
        <v>7.72</v>
      </c>
      <c r="H6" s="5">
        <v>1961</v>
      </c>
      <c r="I6" s="5">
        <v>369</v>
      </c>
      <c r="J6" s="4">
        <v>10.88</v>
      </c>
      <c r="K6" s="2">
        <v>199.9</v>
      </c>
      <c r="L6" s="2">
        <v>89.9</v>
      </c>
    </row>
    <row r="7" spans="1:12" ht="15.75" x14ac:dyDescent="0.25">
      <c r="A7" s="2" t="s">
        <v>10</v>
      </c>
      <c r="B7" s="2" t="s">
        <v>14</v>
      </c>
      <c r="C7" s="3">
        <v>0.5</v>
      </c>
      <c r="D7" s="4">
        <v>47.84</v>
      </c>
      <c r="E7" s="5">
        <v>4278</v>
      </c>
      <c r="F7" s="4">
        <v>1.52</v>
      </c>
      <c r="G7" s="4">
        <v>8.4600000000000009</v>
      </c>
      <c r="H7" s="5">
        <v>2024</v>
      </c>
      <c r="I7" s="5">
        <v>405</v>
      </c>
      <c r="J7" s="4">
        <v>10.57</v>
      </c>
      <c r="K7" s="2">
        <v>199.9</v>
      </c>
      <c r="L7" s="2">
        <v>89.9</v>
      </c>
    </row>
    <row r="8" spans="1:12" ht="15.75" x14ac:dyDescent="0.25">
      <c r="A8" s="2" t="s">
        <v>10</v>
      </c>
      <c r="B8" s="2" t="s">
        <v>14</v>
      </c>
      <c r="C8" s="3">
        <v>0.52</v>
      </c>
      <c r="D8" s="4">
        <v>47.82</v>
      </c>
      <c r="E8" s="6">
        <f>4616</f>
        <v>4616</v>
      </c>
      <c r="F8" s="6">
        <f>1.65</f>
        <v>1.65</v>
      </c>
      <c r="G8" s="4">
        <v>9.41</v>
      </c>
      <c r="H8" s="6">
        <f>2104</f>
        <v>2104</v>
      </c>
      <c r="I8" s="5">
        <v>450</v>
      </c>
      <c r="J8" s="4">
        <v>10.26</v>
      </c>
      <c r="K8" s="2">
        <v>199.9</v>
      </c>
      <c r="L8" s="2">
        <v>89.9</v>
      </c>
    </row>
    <row r="9" spans="1:12" ht="15.75" x14ac:dyDescent="0.25">
      <c r="A9" s="2" t="s">
        <v>10</v>
      </c>
      <c r="B9" s="2" t="s">
        <v>14</v>
      </c>
      <c r="C9" s="3">
        <v>0.54</v>
      </c>
      <c r="D9" s="4">
        <v>47.8</v>
      </c>
      <c r="E9" s="5">
        <v>4902</v>
      </c>
      <c r="F9" s="6">
        <f>1.75</f>
        <v>1.75</v>
      </c>
      <c r="G9" s="4">
        <v>10.33</v>
      </c>
      <c r="H9" s="6">
        <f>2176</f>
        <v>2176</v>
      </c>
      <c r="I9" s="5">
        <v>494</v>
      </c>
      <c r="J9" s="4">
        <v>9.93</v>
      </c>
      <c r="K9" s="2">
        <v>199.9</v>
      </c>
      <c r="L9" s="2">
        <v>89.9</v>
      </c>
    </row>
    <row r="10" spans="1:12" ht="15.75" x14ac:dyDescent="0.25">
      <c r="A10" s="2" t="s">
        <v>10</v>
      </c>
      <c r="B10" s="2" t="s">
        <v>14</v>
      </c>
      <c r="C10" s="3">
        <v>0.56000000000000005</v>
      </c>
      <c r="D10" s="4">
        <v>47.78</v>
      </c>
      <c r="E10" s="5">
        <v>5361</v>
      </c>
      <c r="F10" s="4">
        <v>1.91</v>
      </c>
      <c r="G10" s="4">
        <v>11.58</v>
      </c>
      <c r="H10" s="5">
        <v>2271</v>
      </c>
      <c r="I10" s="5">
        <v>553</v>
      </c>
      <c r="J10" s="4">
        <v>9.69</v>
      </c>
      <c r="K10" s="2">
        <v>199.9</v>
      </c>
      <c r="L10" s="2">
        <v>89.9</v>
      </c>
    </row>
    <row r="11" spans="1:12" ht="15.75" x14ac:dyDescent="0.25">
      <c r="A11" s="2" t="s">
        <v>10</v>
      </c>
      <c r="B11" s="2" t="s">
        <v>14</v>
      </c>
      <c r="C11" s="3">
        <v>0.57999999999999996</v>
      </c>
      <c r="D11" s="4">
        <v>47.76</v>
      </c>
      <c r="E11" s="5">
        <v>5729</v>
      </c>
      <c r="F11" s="4">
        <v>2.04</v>
      </c>
      <c r="G11" s="4">
        <v>12.68</v>
      </c>
      <c r="H11" s="5">
        <v>2345</v>
      </c>
      <c r="I11" s="5">
        <v>606</v>
      </c>
      <c r="J11" s="4">
        <v>9.4600000000000009</v>
      </c>
      <c r="K11" s="2">
        <v>199.9</v>
      </c>
      <c r="L11" s="2">
        <v>89.9</v>
      </c>
    </row>
    <row r="12" spans="1:12" ht="15.75" x14ac:dyDescent="0.25">
      <c r="A12" s="2" t="s">
        <v>10</v>
      </c>
      <c r="B12" s="2" t="s">
        <v>14</v>
      </c>
      <c r="C12" s="3">
        <v>0.6</v>
      </c>
      <c r="D12" s="4">
        <v>47.73</v>
      </c>
      <c r="E12" s="5">
        <v>6189</v>
      </c>
      <c r="F12" s="4">
        <v>2.19</v>
      </c>
      <c r="G12" s="4">
        <v>14.14</v>
      </c>
      <c r="H12" s="5">
        <v>2434</v>
      </c>
      <c r="I12" s="5">
        <v>675</v>
      </c>
      <c r="J12" s="4">
        <v>9.17</v>
      </c>
      <c r="K12" s="2">
        <v>199.9</v>
      </c>
      <c r="L12" s="2">
        <v>89.9</v>
      </c>
    </row>
    <row r="13" spans="1:12" ht="15.75" x14ac:dyDescent="0.25">
      <c r="A13" s="2" t="s">
        <v>10</v>
      </c>
      <c r="B13" s="2" t="s">
        <v>14</v>
      </c>
      <c r="C13" s="3">
        <v>0.62</v>
      </c>
      <c r="D13" s="4">
        <v>47.71</v>
      </c>
      <c r="E13" s="5">
        <v>6526</v>
      </c>
      <c r="F13" s="4">
        <v>2.31</v>
      </c>
      <c r="G13" s="4">
        <v>15.38</v>
      </c>
      <c r="H13" s="5">
        <v>2506</v>
      </c>
      <c r="I13" s="5">
        <v>734</v>
      </c>
      <c r="J13" s="4">
        <v>8.9</v>
      </c>
      <c r="K13" s="2">
        <v>199.9</v>
      </c>
      <c r="L13" s="2">
        <v>89.9</v>
      </c>
    </row>
    <row r="14" spans="1:12" ht="15.75" x14ac:dyDescent="0.25">
      <c r="A14" s="2" t="s">
        <v>10</v>
      </c>
      <c r="B14" s="2" t="s">
        <v>14</v>
      </c>
      <c r="C14" s="3">
        <v>0.64</v>
      </c>
      <c r="D14" s="4">
        <v>47.68</v>
      </c>
      <c r="E14" s="5">
        <v>6969</v>
      </c>
      <c r="F14" s="4">
        <v>2.4700000000000002</v>
      </c>
      <c r="G14" s="4">
        <v>16.86</v>
      </c>
      <c r="H14" s="5">
        <v>2580</v>
      </c>
      <c r="I14" s="5">
        <v>804</v>
      </c>
      <c r="J14" s="4">
        <v>8.67</v>
      </c>
      <c r="K14" s="2">
        <v>199.9</v>
      </c>
      <c r="L14" s="2">
        <v>89.9</v>
      </c>
    </row>
    <row r="15" spans="1:12" ht="15.75" x14ac:dyDescent="0.25">
      <c r="A15" s="2" t="s">
        <v>10</v>
      </c>
      <c r="B15" s="2" t="s">
        <v>14</v>
      </c>
      <c r="C15" s="3">
        <v>0.66</v>
      </c>
      <c r="D15" s="4">
        <v>47.65</v>
      </c>
      <c r="E15" s="5">
        <v>7363</v>
      </c>
      <c r="F15" s="4">
        <v>2.61</v>
      </c>
      <c r="G15" s="4">
        <v>18.14</v>
      </c>
      <c r="H15" s="5">
        <v>2650</v>
      </c>
      <c r="I15" s="5">
        <v>864</v>
      </c>
      <c r="J15" s="4">
        <v>8.52</v>
      </c>
      <c r="K15" s="2">
        <v>199.9</v>
      </c>
      <c r="L15" s="2">
        <v>89.9</v>
      </c>
    </row>
    <row r="16" spans="1:12" ht="15.75" x14ac:dyDescent="0.25">
      <c r="A16" s="2" t="s">
        <v>10</v>
      </c>
      <c r="B16" s="2" t="s">
        <v>14</v>
      </c>
      <c r="C16" s="3">
        <v>0.68</v>
      </c>
      <c r="D16" s="4">
        <v>47.63</v>
      </c>
      <c r="E16" s="5">
        <v>7719</v>
      </c>
      <c r="F16" s="4">
        <v>2.73</v>
      </c>
      <c r="G16" s="4">
        <v>19.5</v>
      </c>
      <c r="H16" s="6">
        <f>2719</f>
        <v>2719</v>
      </c>
      <c r="I16" s="5">
        <v>929</v>
      </c>
      <c r="J16" s="4">
        <v>8.31</v>
      </c>
      <c r="K16" s="2">
        <v>199.9</v>
      </c>
      <c r="L16" s="2">
        <v>89.9</v>
      </c>
    </row>
    <row r="17" spans="1:12" ht="15.75" x14ac:dyDescent="0.25">
      <c r="A17" s="2" t="s">
        <v>10</v>
      </c>
      <c r="B17" s="2" t="s">
        <v>14</v>
      </c>
      <c r="C17" s="3">
        <v>0.7</v>
      </c>
      <c r="D17" s="4">
        <v>47.6</v>
      </c>
      <c r="E17" s="5">
        <v>8132</v>
      </c>
      <c r="F17" s="4">
        <v>2.88</v>
      </c>
      <c r="G17" s="4">
        <v>21.1</v>
      </c>
      <c r="H17" s="5">
        <v>2782</v>
      </c>
      <c r="I17" s="5">
        <v>1004</v>
      </c>
      <c r="J17" s="4">
        <v>8.1</v>
      </c>
      <c r="K17" s="2">
        <v>199.9</v>
      </c>
      <c r="L17" s="2">
        <v>89.9</v>
      </c>
    </row>
    <row r="18" spans="1:12" ht="15.75" x14ac:dyDescent="0.25">
      <c r="A18" s="2" t="s">
        <v>10</v>
      </c>
      <c r="B18" s="2" t="s">
        <v>14</v>
      </c>
      <c r="C18" s="3">
        <v>0.76</v>
      </c>
      <c r="D18" s="4">
        <v>47.51</v>
      </c>
      <c r="E18" s="5">
        <v>9395</v>
      </c>
      <c r="F18" s="4">
        <v>3.34</v>
      </c>
      <c r="G18" s="4">
        <v>26.16</v>
      </c>
      <c r="H18" s="5">
        <v>2987</v>
      </c>
      <c r="I18" s="5">
        <v>1243</v>
      </c>
      <c r="J18" s="4">
        <v>7.56</v>
      </c>
      <c r="K18" s="2">
        <v>199.9</v>
      </c>
      <c r="L18" s="2">
        <v>89.9</v>
      </c>
    </row>
    <row r="19" spans="1:12" ht="15.75" x14ac:dyDescent="0.25">
      <c r="A19" s="2" t="s">
        <v>10</v>
      </c>
      <c r="B19" s="2" t="s">
        <v>14</v>
      </c>
      <c r="C19" s="3">
        <v>0.82</v>
      </c>
      <c r="D19" s="4">
        <v>47.41</v>
      </c>
      <c r="E19" s="5">
        <v>10618</v>
      </c>
      <c r="F19" s="4">
        <v>3.78</v>
      </c>
      <c r="G19" s="4">
        <v>31.59</v>
      </c>
      <c r="H19" s="5">
        <v>3174</v>
      </c>
      <c r="I19" s="5">
        <v>1498</v>
      </c>
      <c r="J19" s="4">
        <v>7.09</v>
      </c>
      <c r="K19" s="2">
        <v>199.9</v>
      </c>
      <c r="L19" s="2">
        <v>89.9</v>
      </c>
    </row>
    <row r="20" spans="1:12" ht="15.75" x14ac:dyDescent="0.25">
      <c r="A20" s="2" t="s">
        <v>10</v>
      </c>
      <c r="B20" s="2" t="s">
        <v>14</v>
      </c>
      <c r="C20" s="3">
        <v>0.88</v>
      </c>
      <c r="D20" s="4">
        <v>47.32</v>
      </c>
      <c r="E20" s="5">
        <v>11833</v>
      </c>
      <c r="F20" s="4">
        <v>4.22</v>
      </c>
      <c r="G20" s="4">
        <v>37.159999999999997</v>
      </c>
      <c r="H20" s="5">
        <v>3350</v>
      </c>
      <c r="I20" s="5">
        <v>1758</v>
      </c>
      <c r="J20" s="4">
        <v>6.73</v>
      </c>
      <c r="K20" s="2">
        <v>199.9</v>
      </c>
      <c r="L20" s="2">
        <v>89.9</v>
      </c>
    </row>
    <row r="21" spans="1:12" ht="15.75" x14ac:dyDescent="0.25">
      <c r="A21" s="2" t="s">
        <v>10</v>
      </c>
      <c r="B21" s="2" t="s">
        <v>14</v>
      </c>
      <c r="C21" s="3">
        <v>0.94</v>
      </c>
      <c r="D21" s="4">
        <v>47.21</v>
      </c>
      <c r="E21" s="5">
        <v>13009</v>
      </c>
      <c r="F21" s="4">
        <v>4.6399999999999997</v>
      </c>
      <c r="G21" s="4">
        <v>43.34</v>
      </c>
      <c r="H21" s="5">
        <v>3515</v>
      </c>
      <c r="I21" s="5">
        <v>2046</v>
      </c>
      <c r="J21" s="4">
        <v>6.36</v>
      </c>
      <c r="K21" s="2">
        <v>199.9</v>
      </c>
      <c r="L21" s="2">
        <v>89.9</v>
      </c>
    </row>
    <row r="22" spans="1:12" ht="15.75" x14ac:dyDescent="0.25">
      <c r="A22" s="2" t="s">
        <v>10</v>
      </c>
      <c r="B22" s="2" t="s">
        <v>14</v>
      </c>
      <c r="C22" s="3">
        <v>1</v>
      </c>
      <c r="D22" s="4">
        <v>47.09</v>
      </c>
      <c r="E22" s="5">
        <v>14371</v>
      </c>
      <c r="F22" s="4">
        <v>5.13</v>
      </c>
      <c r="G22" s="4">
        <v>50.42</v>
      </c>
      <c r="H22" s="5">
        <v>3686</v>
      </c>
      <c r="I22" s="5">
        <v>2374</v>
      </c>
      <c r="J22" s="4">
        <v>6.05</v>
      </c>
      <c r="K22" s="2">
        <v>199.9</v>
      </c>
      <c r="L22" s="2">
        <v>89.9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19B53-48E3-4F40-B92E-2332A69CD396}">
  <dimension ref="A1:L22"/>
  <sheetViews>
    <sheetView workbookViewId="0">
      <selection activeCell="B2" sqref="B2:B22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1" width="21.42578125" customWidth="1"/>
    <col min="12" max="12" width="21.42578125" style="18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5.75" x14ac:dyDescent="0.25">
      <c r="A2" s="2" t="s">
        <v>10</v>
      </c>
      <c r="B2" s="2" t="s">
        <v>15</v>
      </c>
      <c r="C2" s="13">
        <v>0.4</v>
      </c>
      <c r="D2" s="14">
        <v>47.89</v>
      </c>
      <c r="E2" s="15">
        <v>3569</v>
      </c>
      <c r="F2" s="16">
        <f>1.3</f>
        <v>1.3</v>
      </c>
      <c r="G2" s="14">
        <v>6.23</v>
      </c>
      <c r="H2" s="15">
        <v>1682</v>
      </c>
      <c r="I2" s="15">
        <v>298</v>
      </c>
      <c r="J2" s="16">
        <f>11.97</f>
        <v>11.97</v>
      </c>
      <c r="K2" s="2">
        <v>199.9</v>
      </c>
      <c r="L2" s="17">
        <v>357.9</v>
      </c>
    </row>
    <row r="3" spans="1:12" ht="15.75" x14ac:dyDescent="0.25">
      <c r="A3" s="2" t="s">
        <v>10</v>
      </c>
      <c r="B3" s="2" t="s">
        <v>15</v>
      </c>
      <c r="C3" s="13">
        <v>0.42</v>
      </c>
      <c r="D3" s="14">
        <v>47.88</v>
      </c>
      <c r="E3" s="15">
        <v>3833</v>
      </c>
      <c r="F3" s="14">
        <v>1.4</v>
      </c>
      <c r="G3" s="14">
        <v>6.84</v>
      </c>
      <c r="H3" s="15">
        <v>1744</v>
      </c>
      <c r="I3" s="15">
        <v>327</v>
      </c>
      <c r="J3" s="14">
        <v>11.72</v>
      </c>
      <c r="K3" s="2">
        <v>199.9</v>
      </c>
      <c r="L3" s="17">
        <v>357.9</v>
      </c>
    </row>
    <row r="4" spans="1:12" ht="15.75" x14ac:dyDescent="0.25">
      <c r="A4" s="2" t="s">
        <v>10</v>
      </c>
      <c r="B4" s="2" t="s">
        <v>15</v>
      </c>
      <c r="C4" s="13">
        <v>0.44</v>
      </c>
      <c r="D4" s="14">
        <v>47.86</v>
      </c>
      <c r="E4" s="15">
        <v>4074</v>
      </c>
      <c r="F4" s="14">
        <v>1.48</v>
      </c>
      <c r="G4" s="14">
        <v>7.57</v>
      </c>
      <c r="H4" s="15">
        <v>1804</v>
      </c>
      <c r="I4" s="15">
        <v>362</v>
      </c>
      <c r="J4" s="14">
        <v>11.25</v>
      </c>
      <c r="K4" s="2">
        <v>199.9</v>
      </c>
      <c r="L4" s="17">
        <v>357.9</v>
      </c>
    </row>
    <row r="5" spans="1:12" ht="15.75" x14ac:dyDescent="0.25">
      <c r="A5" s="2" t="s">
        <v>10</v>
      </c>
      <c r="B5" s="2" t="s">
        <v>15</v>
      </c>
      <c r="C5" s="13">
        <v>0.46</v>
      </c>
      <c r="D5" s="14">
        <v>47.86</v>
      </c>
      <c r="E5" s="15">
        <v>4329</v>
      </c>
      <c r="F5" s="14">
        <v>1.57</v>
      </c>
      <c r="G5" s="14">
        <v>8.08</v>
      </c>
      <c r="H5" s="15">
        <v>1848</v>
      </c>
      <c r="I5" s="15">
        <v>387</v>
      </c>
      <c r="J5" s="16">
        <f>11.19</f>
        <v>11.19</v>
      </c>
      <c r="K5" s="2">
        <v>199.9</v>
      </c>
      <c r="L5" s="17">
        <v>357.9</v>
      </c>
    </row>
    <row r="6" spans="1:12" ht="15.75" x14ac:dyDescent="0.25">
      <c r="A6" s="2" t="s">
        <v>10</v>
      </c>
      <c r="B6" s="2" t="s">
        <v>15</v>
      </c>
      <c r="C6" s="13">
        <v>0.48</v>
      </c>
      <c r="D6" s="14">
        <v>47.83</v>
      </c>
      <c r="E6" s="15">
        <v>4655</v>
      </c>
      <c r="F6" s="16">
        <f>1.69</f>
        <v>1.69</v>
      </c>
      <c r="G6" s="14">
        <v>9</v>
      </c>
      <c r="H6" s="15">
        <v>1915</v>
      </c>
      <c r="I6" s="15">
        <v>431</v>
      </c>
      <c r="J6" s="14">
        <v>10.81</v>
      </c>
      <c r="K6" s="2">
        <v>199.9</v>
      </c>
      <c r="L6" s="17">
        <v>357.9</v>
      </c>
    </row>
    <row r="7" spans="1:12" ht="15.75" x14ac:dyDescent="0.25">
      <c r="A7" s="2" t="s">
        <v>10</v>
      </c>
      <c r="B7" s="2" t="s">
        <v>15</v>
      </c>
      <c r="C7" s="13">
        <v>0.5</v>
      </c>
      <c r="D7" s="14">
        <v>47.82</v>
      </c>
      <c r="E7" s="15">
        <v>4992</v>
      </c>
      <c r="F7" s="14">
        <v>1.8</v>
      </c>
      <c r="G7" s="14">
        <v>9.89</v>
      </c>
      <c r="H7" s="15">
        <v>1982</v>
      </c>
      <c r="I7" s="15">
        <v>473</v>
      </c>
      <c r="J7" s="14">
        <v>10.56</v>
      </c>
      <c r="K7" s="2">
        <v>199.9</v>
      </c>
      <c r="L7" s="17">
        <v>357.9</v>
      </c>
    </row>
    <row r="8" spans="1:12" ht="15.75" x14ac:dyDescent="0.25">
      <c r="A8" s="2" t="s">
        <v>10</v>
      </c>
      <c r="B8" s="2" t="s">
        <v>15</v>
      </c>
      <c r="C8" s="13">
        <v>0.52</v>
      </c>
      <c r="D8" s="14">
        <v>47.81</v>
      </c>
      <c r="E8" s="15">
        <v>5325</v>
      </c>
      <c r="F8" s="16">
        <f>1.92</f>
        <v>1.92</v>
      </c>
      <c r="G8" s="14">
        <v>10.76</v>
      </c>
      <c r="H8" s="15">
        <v>2054</v>
      </c>
      <c r="I8" s="15">
        <v>514</v>
      </c>
      <c r="J8" s="14">
        <v>10.36</v>
      </c>
      <c r="K8" s="2">
        <v>199.9</v>
      </c>
      <c r="L8" s="17">
        <v>357.9</v>
      </c>
    </row>
    <row r="9" spans="1:12" ht="15.75" x14ac:dyDescent="0.25">
      <c r="A9" s="2" t="s">
        <v>10</v>
      </c>
      <c r="B9" s="2" t="s">
        <v>15</v>
      </c>
      <c r="C9" s="13">
        <v>0.54</v>
      </c>
      <c r="D9" s="14">
        <v>47.77</v>
      </c>
      <c r="E9" s="15">
        <v>5655</v>
      </c>
      <c r="F9" s="14">
        <v>2.0499999999999998</v>
      </c>
      <c r="G9" s="14">
        <v>11.96</v>
      </c>
      <c r="H9" s="15">
        <v>2121</v>
      </c>
      <c r="I9" s="15">
        <v>571</v>
      </c>
      <c r="J9" s="14">
        <v>9.9</v>
      </c>
      <c r="K9" s="2">
        <v>199.9</v>
      </c>
      <c r="L9" s="17">
        <v>357.9</v>
      </c>
    </row>
    <row r="10" spans="1:12" ht="15.75" x14ac:dyDescent="0.25">
      <c r="A10" s="2" t="s">
        <v>10</v>
      </c>
      <c r="B10" s="2" t="s">
        <v>15</v>
      </c>
      <c r="C10" s="13">
        <v>0.56000000000000005</v>
      </c>
      <c r="D10" s="14">
        <v>47.76</v>
      </c>
      <c r="E10" s="15">
        <v>6143</v>
      </c>
      <c r="F10" s="14">
        <v>2.2200000000000002</v>
      </c>
      <c r="G10" s="14">
        <v>13.22</v>
      </c>
      <c r="H10" s="15">
        <v>2206</v>
      </c>
      <c r="I10" s="15">
        <v>631</v>
      </c>
      <c r="J10" s="14">
        <v>9.73</v>
      </c>
      <c r="K10" s="2">
        <v>199.9</v>
      </c>
      <c r="L10" s="17">
        <v>357.9</v>
      </c>
    </row>
    <row r="11" spans="1:12" ht="15.75" x14ac:dyDescent="0.25">
      <c r="A11" s="2" t="s">
        <v>10</v>
      </c>
      <c r="B11" s="2" t="s">
        <v>15</v>
      </c>
      <c r="C11" s="13">
        <v>0.57999999999999996</v>
      </c>
      <c r="D11" s="14">
        <v>47.73</v>
      </c>
      <c r="E11" s="15">
        <v>6604</v>
      </c>
      <c r="F11" s="14">
        <v>2.39</v>
      </c>
      <c r="G11" s="14">
        <v>14.61</v>
      </c>
      <c r="H11" s="15">
        <v>2289</v>
      </c>
      <c r="I11" s="15">
        <v>697</v>
      </c>
      <c r="J11" s="14">
        <v>9.4700000000000006</v>
      </c>
      <c r="K11" s="2">
        <v>199.9</v>
      </c>
      <c r="L11" s="17">
        <v>357.9</v>
      </c>
    </row>
    <row r="12" spans="1:12" ht="15.75" x14ac:dyDescent="0.25">
      <c r="A12" s="2" t="s">
        <v>10</v>
      </c>
      <c r="B12" s="2" t="s">
        <v>15</v>
      </c>
      <c r="C12" s="13">
        <v>0.6</v>
      </c>
      <c r="D12" s="14">
        <v>47.69</v>
      </c>
      <c r="E12" s="16">
        <f>7188</f>
        <v>7188</v>
      </c>
      <c r="F12" s="14">
        <v>2.59</v>
      </c>
      <c r="G12" s="14">
        <v>16.52</v>
      </c>
      <c r="H12" s="15">
        <v>2374</v>
      </c>
      <c r="I12" s="15">
        <v>788</v>
      </c>
      <c r="J12" s="14">
        <v>9.1300000000000008</v>
      </c>
      <c r="K12" s="2">
        <v>199.9</v>
      </c>
      <c r="L12" s="17">
        <v>357.9</v>
      </c>
    </row>
    <row r="13" spans="1:12" ht="15.75" x14ac:dyDescent="0.25">
      <c r="A13" s="2" t="s">
        <v>10</v>
      </c>
      <c r="B13" s="2" t="s">
        <v>15</v>
      </c>
      <c r="C13" s="13">
        <v>0.62</v>
      </c>
      <c r="D13" s="14">
        <v>47.67</v>
      </c>
      <c r="E13" s="15">
        <v>7609</v>
      </c>
      <c r="F13" s="14">
        <v>2.75</v>
      </c>
      <c r="G13" s="14">
        <v>17.829999999999998</v>
      </c>
      <c r="H13" s="15">
        <v>2438</v>
      </c>
      <c r="I13" s="15">
        <v>850</v>
      </c>
      <c r="J13" s="14">
        <v>8.9499999999999993</v>
      </c>
      <c r="K13" s="2">
        <v>199.9</v>
      </c>
      <c r="L13" s="17">
        <v>357.9</v>
      </c>
    </row>
    <row r="14" spans="1:12" ht="15.75" x14ac:dyDescent="0.25">
      <c r="A14" s="2" t="s">
        <v>10</v>
      </c>
      <c r="B14" s="2" t="s">
        <v>15</v>
      </c>
      <c r="C14" s="13">
        <v>0.64</v>
      </c>
      <c r="D14" s="14">
        <v>47.64</v>
      </c>
      <c r="E14" s="15">
        <v>7997</v>
      </c>
      <c r="F14" s="14">
        <v>2.9</v>
      </c>
      <c r="G14" s="14">
        <v>19.37</v>
      </c>
      <c r="H14" s="15">
        <v>2506</v>
      </c>
      <c r="I14" s="15">
        <v>923</v>
      </c>
      <c r="J14" s="14">
        <v>8.67</v>
      </c>
      <c r="K14" s="2">
        <v>199.9</v>
      </c>
      <c r="L14" s="17">
        <v>357.9</v>
      </c>
    </row>
    <row r="15" spans="1:12" ht="15.75" x14ac:dyDescent="0.25">
      <c r="A15" s="2" t="s">
        <v>10</v>
      </c>
      <c r="B15" s="2" t="s">
        <v>15</v>
      </c>
      <c r="C15" s="13">
        <v>0.66</v>
      </c>
      <c r="D15" s="14">
        <v>47.62</v>
      </c>
      <c r="E15" s="15">
        <v>8413</v>
      </c>
      <c r="F15" s="14">
        <v>3.04</v>
      </c>
      <c r="G15" s="14">
        <v>20.83</v>
      </c>
      <c r="H15" s="15">
        <v>2577</v>
      </c>
      <c r="I15" s="15">
        <v>992</v>
      </c>
      <c r="J15" s="14">
        <v>8.48</v>
      </c>
      <c r="K15" s="2">
        <v>199.9</v>
      </c>
      <c r="L15" s="17">
        <v>357.9</v>
      </c>
    </row>
    <row r="16" spans="1:12" ht="15.75" x14ac:dyDescent="0.25">
      <c r="A16" s="2" t="s">
        <v>10</v>
      </c>
      <c r="B16" s="2" t="s">
        <v>15</v>
      </c>
      <c r="C16" s="13">
        <v>0.68</v>
      </c>
      <c r="D16" s="14">
        <v>47.59</v>
      </c>
      <c r="E16" s="15">
        <v>8783</v>
      </c>
      <c r="F16" s="14">
        <v>3.18</v>
      </c>
      <c r="G16" s="14">
        <v>22.42</v>
      </c>
      <c r="H16" s="15">
        <v>2646</v>
      </c>
      <c r="I16" s="15">
        <v>1067</v>
      </c>
      <c r="J16" s="14">
        <v>8.23</v>
      </c>
      <c r="K16" s="2">
        <v>199.9</v>
      </c>
      <c r="L16" s="17">
        <v>357.9</v>
      </c>
    </row>
    <row r="17" spans="1:12" ht="15.75" x14ac:dyDescent="0.25">
      <c r="A17" s="2" t="s">
        <v>10</v>
      </c>
      <c r="B17" s="2" t="s">
        <v>15</v>
      </c>
      <c r="C17" s="13">
        <v>0.7</v>
      </c>
      <c r="D17" s="14">
        <v>47.55</v>
      </c>
      <c r="E17" s="15">
        <v>9372</v>
      </c>
      <c r="F17" s="14">
        <v>3.38</v>
      </c>
      <c r="G17" s="14">
        <v>24.31</v>
      </c>
      <c r="H17" s="15">
        <v>2707</v>
      </c>
      <c r="I17" s="15">
        <v>1156</v>
      </c>
      <c r="J17" s="14">
        <v>8.11</v>
      </c>
      <c r="K17" s="2">
        <v>199.9</v>
      </c>
      <c r="L17" s="17">
        <v>357.9</v>
      </c>
    </row>
    <row r="18" spans="1:12" ht="15.75" x14ac:dyDescent="0.25">
      <c r="A18" s="2" t="s">
        <v>10</v>
      </c>
      <c r="B18" s="2" t="s">
        <v>15</v>
      </c>
      <c r="C18" s="13">
        <v>0.76</v>
      </c>
      <c r="D18" s="14">
        <v>47.45</v>
      </c>
      <c r="E18" s="15">
        <v>10840</v>
      </c>
      <c r="F18" s="14">
        <v>3.92</v>
      </c>
      <c r="G18" s="14">
        <v>30.37</v>
      </c>
      <c r="H18" s="15">
        <v>2905</v>
      </c>
      <c r="I18" s="15">
        <v>1441</v>
      </c>
      <c r="J18" s="14">
        <v>7.52</v>
      </c>
      <c r="K18" s="2">
        <v>199.9</v>
      </c>
      <c r="L18" s="17">
        <v>357.9</v>
      </c>
    </row>
    <row r="19" spans="1:12" ht="15.75" x14ac:dyDescent="0.25">
      <c r="A19" s="2" t="s">
        <v>10</v>
      </c>
      <c r="B19" s="2" t="s">
        <v>15</v>
      </c>
      <c r="C19" s="13">
        <v>0.82</v>
      </c>
      <c r="D19" s="14">
        <v>47.34</v>
      </c>
      <c r="E19" s="15">
        <v>12181</v>
      </c>
      <c r="F19" s="14">
        <v>4.43</v>
      </c>
      <c r="G19" s="14">
        <v>36.47</v>
      </c>
      <c r="H19" s="15">
        <v>3078</v>
      </c>
      <c r="I19" s="15">
        <v>1726</v>
      </c>
      <c r="J19" s="14">
        <v>7.06</v>
      </c>
      <c r="K19" s="2">
        <v>199.9</v>
      </c>
      <c r="L19" s="17">
        <v>357.9</v>
      </c>
    </row>
    <row r="20" spans="1:12" ht="15.75" x14ac:dyDescent="0.25">
      <c r="A20" s="2" t="s">
        <v>10</v>
      </c>
      <c r="B20" s="2" t="s">
        <v>15</v>
      </c>
      <c r="C20" s="13">
        <v>0.88</v>
      </c>
      <c r="D20" s="14">
        <v>47.23</v>
      </c>
      <c r="E20" s="15">
        <v>13512</v>
      </c>
      <c r="F20" s="14">
        <v>4.9400000000000004</v>
      </c>
      <c r="G20" s="16">
        <f>43.11</f>
        <v>43.11</v>
      </c>
      <c r="H20" s="15">
        <v>3237</v>
      </c>
      <c r="I20" s="15">
        <v>2036</v>
      </c>
      <c r="J20" s="14">
        <v>6.64</v>
      </c>
      <c r="K20" s="2">
        <v>199.9</v>
      </c>
      <c r="L20" s="17">
        <v>357.9</v>
      </c>
    </row>
    <row r="21" spans="1:12" ht="15.75" x14ac:dyDescent="0.25">
      <c r="A21" s="2" t="s">
        <v>10</v>
      </c>
      <c r="B21" s="2" t="s">
        <v>15</v>
      </c>
      <c r="C21" s="13">
        <v>0.94</v>
      </c>
      <c r="D21" s="14">
        <v>47.1</v>
      </c>
      <c r="E21" s="15">
        <v>14961</v>
      </c>
      <c r="F21" s="14">
        <v>5.48</v>
      </c>
      <c r="G21" s="14">
        <v>50.65</v>
      </c>
      <c r="H21" s="15">
        <v>3393</v>
      </c>
      <c r="I21" s="15">
        <v>2385</v>
      </c>
      <c r="J21" s="14">
        <v>6.27</v>
      </c>
      <c r="K21" s="2">
        <v>199.9</v>
      </c>
      <c r="L21" s="17">
        <v>357.9</v>
      </c>
    </row>
    <row r="22" spans="1:12" ht="15.75" x14ac:dyDescent="0.25">
      <c r="A22" s="2" t="s">
        <v>10</v>
      </c>
      <c r="B22" s="2" t="s">
        <v>15</v>
      </c>
      <c r="C22" s="13">
        <v>1</v>
      </c>
      <c r="D22" s="14">
        <v>46.96</v>
      </c>
      <c r="E22" s="15">
        <v>16344</v>
      </c>
      <c r="F22" s="14">
        <v>5.98</v>
      </c>
      <c r="G22" s="14">
        <v>58.51</v>
      </c>
      <c r="H22" s="15">
        <v>3545</v>
      </c>
      <c r="I22" s="15">
        <v>2748</v>
      </c>
      <c r="J22" s="14">
        <v>5.95</v>
      </c>
      <c r="K22" s="2">
        <v>199.9</v>
      </c>
      <c r="L22" s="17">
        <v>357.9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3F95-52D2-4AF5-A1F0-23E571F80685}">
  <dimension ref="A1:L22"/>
  <sheetViews>
    <sheetView workbookViewId="0">
      <selection activeCell="F35" sqref="F35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1" width="21.42578125" customWidth="1"/>
    <col min="12" max="12" width="21.42578125" style="18" customWidth="1"/>
  </cols>
  <sheetData>
    <row r="1" spans="1:12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6.5" thickBot="1" x14ac:dyDescent="0.3">
      <c r="A2" s="2" t="s">
        <v>10</v>
      </c>
      <c r="B2" s="2" t="s">
        <v>17</v>
      </c>
      <c r="C2" s="19">
        <v>0.4</v>
      </c>
      <c r="D2" s="20">
        <v>47.87</v>
      </c>
      <c r="E2" s="20">
        <v>3505</v>
      </c>
      <c r="F2" s="20">
        <v>1.3</v>
      </c>
      <c r="G2" s="20">
        <v>6.23</v>
      </c>
      <c r="H2" s="20">
        <v>1684</v>
      </c>
      <c r="I2" s="20">
        <v>298</v>
      </c>
      <c r="J2" s="20">
        <v>11.75</v>
      </c>
      <c r="K2" s="2">
        <v>199.9</v>
      </c>
      <c r="L2" s="21">
        <v>99.9</v>
      </c>
    </row>
    <row r="3" spans="1:12" ht="16.5" thickBot="1" x14ac:dyDescent="0.3">
      <c r="A3" s="2" t="s">
        <v>10</v>
      </c>
      <c r="B3" s="2" t="s">
        <v>17</v>
      </c>
      <c r="C3" s="19">
        <v>0.42</v>
      </c>
      <c r="D3" s="20">
        <v>47.87</v>
      </c>
      <c r="E3" s="20">
        <v>3744</v>
      </c>
      <c r="F3" s="20">
        <v>1.39</v>
      </c>
      <c r="G3" s="20">
        <v>6.71</v>
      </c>
      <c r="H3" s="20">
        <v>1739</v>
      </c>
      <c r="I3" s="20">
        <v>321</v>
      </c>
      <c r="J3" s="20">
        <v>11.66</v>
      </c>
      <c r="K3" s="2">
        <v>199.9</v>
      </c>
      <c r="L3" s="21">
        <v>99.9</v>
      </c>
    </row>
    <row r="4" spans="1:12" ht="16.5" thickBot="1" x14ac:dyDescent="0.3">
      <c r="A4" s="2" t="s">
        <v>10</v>
      </c>
      <c r="B4" s="2" t="s">
        <v>17</v>
      </c>
      <c r="C4" s="19">
        <v>0.44</v>
      </c>
      <c r="D4" s="20">
        <v>47.85</v>
      </c>
      <c r="E4" s="20">
        <v>3992</v>
      </c>
      <c r="F4" s="20">
        <v>1.47</v>
      </c>
      <c r="G4" s="20">
        <v>7.43</v>
      </c>
      <c r="H4" s="20">
        <v>1798</v>
      </c>
      <c r="I4" s="20">
        <v>356</v>
      </c>
      <c r="J4" s="20">
        <v>11.23</v>
      </c>
      <c r="K4" s="2">
        <v>199.9</v>
      </c>
      <c r="L4" s="21">
        <v>99.9</v>
      </c>
    </row>
    <row r="5" spans="1:12" ht="16.5" thickBot="1" x14ac:dyDescent="0.3">
      <c r="A5" s="2" t="s">
        <v>10</v>
      </c>
      <c r="B5" s="2" t="s">
        <v>17</v>
      </c>
      <c r="C5" s="19">
        <v>0.46</v>
      </c>
      <c r="D5" s="20">
        <v>47.83</v>
      </c>
      <c r="E5" s="20">
        <v>4267</v>
      </c>
      <c r="F5" s="20">
        <v>1.58</v>
      </c>
      <c r="G5" s="20">
        <v>8.1999999999999993</v>
      </c>
      <c r="H5" s="20">
        <v>1856</v>
      </c>
      <c r="I5" s="20">
        <v>392</v>
      </c>
      <c r="J5" s="20">
        <v>10.88</v>
      </c>
      <c r="K5" s="2">
        <v>199.9</v>
      </c>
      <c r="L5" s="21">
        <v>99.9</v>
      </c>
    </row>
    <row r="6" spans="1:12" ht="16.5" thickBot="1" x14ac:dyDescent="0.3">
      <c r="A6" s="2" t="s">
        <v>10</v>
      </c>
      <c r="B6" s="2" t="s">
        <v>17</v>
      </c>
      <c r="C6" s="19">
        <v>0.48</v>
      </c>
      <c r="D6" s="20">
        <v>47.82</v>
      </c>
      <c r="E6" s="20">
        <v>4565</v>
      </c>
      <c r="F6" s="20">
        <v>1.68</v>
      </c>
      <c r="G6" s="20">
        <v>8.98</v>
      </c>
      <c r="H6" s="20">
        <v>1920</v>
      </c>
      <c r="I6" s="20">
        <v>429</v>
      </c>
      <c r="J6" s="20">
        <v>10.63</v>
      </c>
      <c r="K6" s="2">
        <v>199.9</v>
      </c>
      <c r="L6" s="21">
        <v>99.9</v>
      </c>
    </row>
    <row r="7" spans="1:12" ht="16.5" thickBot="1" x14ac:dyDescent="0.3">
      <c r="A7" s="2" t="s">
        <v>10</v>
      </c>
      <c r="B7" s="2" t="s">
        <v>17</v>
      </c>
      <c r="C7" s="19">
        <v>0.5</v>
      </c>
      <c r="D7" s="20">
        <v>47.8</v>
      </c>
      <c r="E7" s="20">
        <v>4885</v>
      </c>
      <c r="F7" s="20">
        <v>1.79</v>
      </c>
      <c r="G7" s="20">
        <v>9.75</v>
      </c>
      <c r="H7" s="20">
        <v>1981</v>
      </c>
      <c r="I7" s="20">
        <v>466</v>
      </c>
      <c r="J7" s="20">
        <v>10.48</v>
      </c>
      <c r="K7" s="2">
        <v>199.9</v>
      </c>
      <c r="L7" s="21">
        <v>99.9</v>
      </c>
    </row>
    <row r="8" spans="1:12" ht="16.5" thickBot="1" x14ac:dyDescent="0.3">
      <c r="A8" s="2" t="s">
        <v>10</v>
      </c>
      <c r="B8" s="2" t="s">
        <v>17</v>
      </c>
      <c r="C8" s="19">
        <v>0.52</v>
      </c>
      <c r="D8" s="20">
        <v>47.77</v>
      </c>
      <c r="E8" s="20">
        <v>5248</v>
      </c>
      <c r="F8" s="20">
        <v>1.93</v>
      </c>
      <c r="G8" s="20">
        <v>11</v>
      </c>
      <c r="H8" s="20">
        <v>2056</v>
      </c>
      <c r="I8" s="20">
        <v>525</v>
      </c>
      <c r="J8" s="20">
        <v>9.99</v>
      </c>
      <c r="K8" s="2">
        <v>199.9</v>
      </c>
      <c r="L8" s="21">
        <v>99.9</v>
      </c>
    </row>
    <row r="9" spans="1:12" ht="16.5" thickBot="1" x14ac:dyDescent="0.3">
      <c r="A9" s="2" t="s">
        <v>10</v>
      </c>
      <c r="B9" s="2" t="s">
        <v>17</v>
      </c>
      <c r="C9" s="19">
        <v>0.54</v>
      </c>
      <c r="D9" s="20">
        <v>47.76</v>
      </c>
      <c r="E9" s="20">
        <v>5592</v>
      </c>
      <c r="F9" s="20">
        <v>2.06</v>
      </c>
      <c r="G9" s="20">
        <v>11.93</v>
      </c>
      <c r="H9" s="20">
        <v>2125</v>
      </c>
      <c r="I9" s="20">
        <v>570</v>
      </c>
      <c r="J9" s="20">
        <v>9.82</v>
      </c>
      <c r="K9" s="2">
        <v>199.9</v>
      </c>
      <c r="L9" s="21">
        <v>99.9</v>
      </c>
    </row>
    <row r="10" spans="1:12" ht="16.5" thickBot="1" x14ac:dyDescent="0.3">
      <c r="A10" s="2" t="s">
        <v>10</v>
      </c>
      <c r="B10" s="2" t="s">
        <v>17</v>
      </c>
      <c r="C10" s="19">
        <v>0.56000000000000005</v>
      </c>
      <c r="D10" s="20">
        <v>47.74</v>
      </c>
      <c r="E10" s="20">
        <v>6039</v>
      </c>
      <c r="F10" s="20">
        <v>2.23</v>
      </c>
      <c r="G10" s="20">
        <v>13.24</v>
      </c>
      <c r="H10" s="20">
        <v>2214</v>
      </c>
      <c r="I10" s="20">
        <v>632</v>
      </c>
      <c r="J10" s="20">
        <v>9.56</v>
      </c>
      <c r="K10" s="2">
        <v>199.9</v>
      </c>
      <c r="L10" s="21">
        <v>99.9</v>
      </c>
    </row>
    <row r="11" spans="1:12" ht="16.5" thickBot="1" x14ac:dyDescent="0.3">
      <c r="A11" s="2" t="s">
        <v>10</v>
      </c>
      <c r="B11" s="2" t="s">
        <v>17</v>
      </c>
      <c r="C11" s="19">
        <v>0.57999999999999996</v>
      </c>
      <c r="D11" s="20">
        <v>47.72</v>
      </c>
      <c r="E11" s="20">
        <v>6510</v>
      </c>
      <c r="F11" s="20">
        <v>2.39</v>
      </c>
      <c r="G11" s="20">
        <v>14.65</v>
      </c>
      <c r="H11" s="20">
        <v>2295</v>
      </c>
      <c r="I11" s="20">
        <v>699</v>
      </c>
      <c r="J11" s="20">
        <v>9.31</v>
      </c>
      <c r="K11" s="2">
        <v>199.9</v>
      </c>
      <c r="L11" s="21">
        <v>99.9</v>
      </c>
    </row>
    <row r="12" spans="1:12" ht="16.5" thickBot="1" x14ac:dyDescent="0.3">
      <c r="A12" s="2" t="s">
        <v>10</v>
      </c>
      <c r="B12" s="2" t="s">
        <v>17</v>
      </c>
      <c r="C12" s="19">
        <v>0.6</v>
      </c>
      <c r="D12" s="20">
        <v>47.68</v>
      </c>
      <c r="E12" s="20">
        <v>7018</v>
      </c>
      <c r="F12" s="20">
        <v>2.57</v>
      </c>
      <c r="G12" s="20">
        <v>16.3</v>
      </c>
      <c r="H12" s="20">
        <v>2376</v>
      </c>
      <c r="I12" s="20">
        <v>777</v>
      </c>
      <c r="J12" s="20">
        <v>9.0299999999999994</v>
      </c>
      <c r="K12" s="2">
        <v>199.9</v>
      </c>
      <c r="L12" s="21">
        <v>99.9</v>
      </c>
    </row>
    <row r="13" spans="1:12" ht="16.5" thickBot="1" x14ac:dyDescent="0.3">
      <c r="A13" s="2" t="s">
        <v>10</v>
      </c>
      <c r="B13" s="2" t="s">
        <v>17</v>
      </c>
      <c r="C13" s="19">
        <v>0.62</v>
      </c>
      <c r="D13" s="20">
        <v>47.65</v>
      </c>
      <c r="E13" s="20">
        <v>7408</v>
      </c>
      <c r="F13" s="20">
        <v>2.71</v>
      </c>
      <c r="G13" s="20">
        <v>17.7</v>
      </c>
      <c r="H13" s="20">
        <v>2446</v>
      </c>
      <c r="I13" s="20">
        <v>843</v>
      </c>
      <c r="J13" s="20">
        <v>8.7799999999999994</v>
      </c>
      <c r="K13" s="2">
        <v>199.9</v>
      </c>
      <c r="L13" s="21">
        <v>99.9</v>
      </c>
    </row>
    <row r="14" spans="1:12" ht="16.5" thickBot="1" x14ac:dyDescent="0.3">
      <c r="A14" s="2" t="s">
        <v>10</v>
      </c>
      <c r="B14" s="2" t="s">
        <v>17</v>
      </c>
      <c r="C14" s="19">
        <v>0.64</v>
      </c>
      <c r="D14" s="20">
        <v>47.63</v>
      </c>
      <c r="E14" s="20">
        <v>7803</v>
      </c>
      <c r="F14" s="20">
        <v>2.87</v>
      </c>
      <c r="G14" s="20">
        <v>19.12</v>
      </c>
      <c r="H14" s="20">
        <v>2512</v>
      </c>
      <c r="I14" s="20">
        <v>911</v>
      </c>
      <c r="J14" s="20">
        <v>8.57</v>
      </c>
      <c r="K14" s="2">
        <v>199.9</v>
      </c>
      <c r="L14" s="21">
        <v>99.9</v>
      </c>
    </row>
    <row r="15" spans="1:12" ht="16.5" thickBot="1" x14ac:dyDescent="0.3">
      <c r="A15" s="2" t="s">
        <v>10</v>
      </c>
      <c r="B15" s="2" t="s">
        <v>17</v>
      </c>
      <c r="C15" s="19">
        <v>0.66</v>
      </c>
      <c r="D15" s="20">
        <v>47.61</v>
      </c>
      <c r="E15" s="20">
        <v>8227</v>
      </c>
      <c r="F15" s="20">
        <v>3.02</v>
      </c>
      <c r="G15" s="20">
        <v>20.56</v>
      </c>
      <c r="H15" s="20">
        <v>2583</v>
      </c>
      <c r="I15" s="20">
        <v>979</v>
      </c>
      <c r="J15" s="20">
        <v>8.41</v>
      </c>
      <c r="K15" s="2">
        <v>199.9</v>
      </c>
      <c r="L15" s="21">
        <v>99.9</v>
      </c>
    </row>
    <row r="16" spans="1:12" ht="16.5" thickBot="1" x14ac:dyDescent="0.3">
      <c r="A16" s="2" t="s">
        <v>10</v>
      </c>
      <c r="B16" s="2" t="s">
        <v>17</v>
      </c>
      <c r="C16" s="19">
        <v>0.68</v>
      </c>
      <c r="D16" s="20">
        <v>47.57</v>
      </c>
      <c r="E16" s="20">
        <v>8732</v>
      </c>
      <c r="F16" s="20">
        <v>3.2</v>
      </c>
      <c r="G16" s="20">
        <v>22.39</v>
      </c>
      <c r="H16" s="20">
        <v>2646</v>
      </c>
      <c r="I16" s="20">
        <v>1065</v>
      </c>
      <c r="J16" s="20">
        <v>8.1999999999999993</v>
      </c>
      <c r="K16" s="2">
        <v>199.9</v>
      </c>
      <c r="L16" s="21">
        <v>99.9</v>
      </c>
    </row>
    <row r="17" spans="1:12" ht="16.5" thickBot="1" x14ac:dyDescent="0.3">
      <c r="A17" s="2" t="s">
        <v>10</v>
      </c>
      <c r="B17" s="2" t="s">
        <v>17</v>
      </c>
      <c r="C17" s="19">
        <v>0.7</v>
      </c>
      <c r="D17" s="20">
        <v>47.54</v>
      </c>
      <c r="E17" s="20">
        <v>9167</v>
      </c>
      <c r="F17" s="20">
        <v>3.36</v>
      </c>
      <c r="G17" s="20">
        <v>24.1</v>
      </c>
      <c r="H17" s="20">
        <v>2713</v>
      </c>
      <c r="I17" s="20">
        <v>1146</v>
      </c>
      <c r="J17" s="20">
        <v>8</v>
      </c>
      <c r="K17" s="2">
        <v>199.9</v>
      </c>
      <c r="L17" s="21">
        <v>99.9</v>
      </c>
    </row>
    <row r="18" spans="1:12" ht="16.5" thickBot="1" x14ac:dyDescent="0.3">
      <c r="A18" s="2" t="s">
        <v>10</v>
      </c>
      <c r="B18" s="2" t="s">
        <v>17</v>
      </c>
      <c r="C18" s="19">
        <v>0.76</v>
      </c>
      <c r="D18" s="20">
        <v>47.44</v>
      </c>
      <c r="E18" s="20">
        <v>10531</v>
      </c>
      <c r="F18" s="20">
        <v>3.87</v>
      </c>
      <c r="G18" s="20">
        <v>29.81</v>
      </c>
      <c r="H18" s="20">
        <v>2913</v>
      </c>
      <c r="I18" s="20">
        <v>1414</v>
      </c>
      <c r="J18" s="20">
        <v>7.45</v>
      </c>
      <c r="K18" s="2">
        <v>199.9</v>
      </c>
      <c r="L18" s="21">
        <v>99.9</v>
      </c>
    </row>
    <row r="19" spans="1:12" ht="16.5" thickBot="1" x14ac:dyDescent="0.3">
      <c r="A19" s="2" t="s">
        <v>10</v>
      </c>
      <c r="B19" s="2" t="s">
        <v>17</v>
      </c>
      <c r="C19" s="19">
        <v>0.82</v>
      </c>
      <c r="D19" s="20">
        <v>47.33</v>
      </c>
      <c r="E19" s="20">
        <v>11825</v>
      </c>
      <c r="F19" s="20">
        <v>4.37</v>
      </c>
      <c r="G19" s="20">
        <v>35.92</v>
      </c>
      <c r="H19" s="20">
        <v>3087</v>
      </c>
      <c r="I19" s="20">
        <v>1700</v>
      </c>
      <c r="J19" s="20">
        <v>6.95</v>
      </c>
      <c r="K19" s="2">
        <v>199.9</v>
      </c>
      <c r="L19" s="21">
        <v>99.9</v>
      </c>
    </row>
    <row r="20" spans="1:12" ht="16.5" thickBot="1" x14ac:dyDescent="0.3">
      <c r="A20" s="2" t="s">
        <v>10</v>
      </c>
      <c r="B20" s="2" t="s">
        <v>17</v>
      </c>
      <c r="C20" s="19">
        <v>0.88</v>
      </c>
      <c r="D20" s="20">
        <v>47.23</v>
      </c>
      <c r="E20" s="20">
        <v>13079</v>
      </c>
      <c r="F20" s="20">
        <v>4.83</v>
      </c>
      <c r="G20" s="20">
        <v>42.1</v>
      </c>
      <c r="H20" s="20">
        <v>3256</v>
      </c>
      <c r="I20" s="20">
        <v>1988</v>
      </c>
      <c r="J20" s="20">
        <v>6.58</v>
      </c>
      <c r="K20" s="2">
        <v>199.9</v>
      </c>
      <c r="L20" s="21">
        <v>99.9</v>
      </c>
    </row>
    <row r="21" spans="1:12" ht="16.5" thickBot="1" x14ac:dyDescent="0.3">
      <c r="A21" s="2" t="s">
        <v>10</v>
      </c>
      <c r="B21" s="2" t="s">
        <v>17</v>
      </c>
      <c r="C21" s="19">
        <v>0.94</v>
      </c>
      <c r="D21" s="20">
        <v>47.1</v>
      </c>
      <c r="E21" s="20">
        <v>14412</v>
      </c>
      <c r="F21" s="20">
        <v>5.3</v>
      </c>
      <c r="G21" s="20">
        <v>49.09</v>
      </c>
      <c r="H21" s="20">
        <v>3418</v>
      </c>
      <c r="I21" s="20">
        <v>2312</v>
      </c>
      <c r="J21" s="20">
        <v>6.23</v>
      </c>
      <c r="K21" s="2">
        <v>199.9</v>
      </c>
      <c r="L21" s="21">
        <v>99.9</v>
      </c>
    </row>
    <row r="22" spans="1:12" ht="16.5" thickBot="1" x14ac:dyDescent="0.3">
      <c r="A22" s="2" t="s">
        <v>10</v>
      </c>
      <c r="B22" s="2" t="s">
        <v>17</v>
      </c>
      <c r="C22" s="19">
        <v>1</v>
      </c>
      <c r="D22" s="20">
        <v>46.97</v>
      </c>
      <c r="E22" s="20">
        <v>15849</v>
      </c>
      <c r="F22" s="20">
        <v>5.83</v>
      </c>
      <c r="G22" s="20">
        <v>56.87</v>
      </c>
      <c r="H22" s="20">
        <v>3567</v>
      </c>
      <c r="I22" s="20">
        <v>2671</v>
      </c>
      <c r="J22" s="20">
        <v>5.93</v>
      </c>
      <c r="K22" s="2">
        <v>199.9</v>
      </c>
      <c r="L22" s="21">
        <v>99.9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315D-5F48-4018-89C6-4A540E4DC177}">
  <dimension ref="A1:L22"/>
  <sheetViews>
    <sheetView workbookViewId="0">
      <selection activeCell="F16" sqref="F16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1" width="21.42578125" customWidth="1"/>
    <col min="12" max="12" width="21.42578125" style="18" customWidth="1"/>
  </cols>
  <sheetData>
    <row r="1" spans="1:12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6.5" thickBot="1" x14ac:dyDescent="0.3">
      <c r="A2" s="2" t="s">
        <v>16</v>
      </c>
      <c r="B2" s="2" t="s">
        <v>18</v>
      </c>
      <c r="C2" s="22">
        <v>0.4</v>
      </c>
      <c r="D2" s="23">
        <v>47.86</v>
      </c>
      <c r="E2" s="23">
        <v>3819</v>
      </c>
      <c r="F2" s="23">
        <v>1.29</v>
      </c>
      <c r="G2" s="23">
        <v>7.55</v>
      </c>
      <c r="H2" s="23">
        <v>1984</v>
      </c>
      <c r="I2" s="23">
        <v>361</v>
      </c>
      <c r="J2" s="23">
        <v>10.57</v>
      </c>
      <c r="K2" s="2">
        <v>199.9</v>
      </c>
      <c r="L2" s="21">
        <v>335.9</v>
      </c>
    </row>
    <row r="3" spans="1:12" ht="16.5" thickBot="1" x14ac:dyDescent="0.3">
      <c r="A3" s="2" t="s">
        <v>16</v>
      </c>
      <c r="B3" s="2" t="s">
        <v>18</v>
      </c>
      <c r="C3" s="22">
        <v>0.42</v>
      </c>
      <c r="D3" s="23">
        <v>47.84</v>
      </c>
      <c r="E3" s="23">
        <v>4145</v>
      </c>
      <c r="F3" s="23">
        <v>1.4</v>
      </c>
      <c r="G3" s="23">
        <v>8.39</v>
      </c>
      <c r="H3" s="23">
        <v>2055</v>
      </c>
      <c r="I3" s="23">
        <v>401</v>
      </c>
      <c r="J3" s="23">
        <v>10.33</v>
      </c>
      <c r="K3" s="2">
        <v>199.9</v>
      </c>
      <c r="L3" s="21">
        <v>335.9</v>
      </c>
    </row>
    <row r="4" spans="1:12" ht="16.5" thickBot="1" x14ac:dyDescent="0.3">
      <c r="A4" s="2" t="s">
        <v>16</v>
      </c>
      <c r="B4" s="2" t="s">
        <v>18</v>
      </c>
      <c r="C4" s="22">
        <v>0.44</v>
      </c>
      <c r="D4" s="23">
        <v>47.83</v>
      </c>
      <c r="E4" s="23">
        <v>4433</v>
      </c>
      <c r="F4" s="23">
        <v>1.49</v>
      </c>
      <c r="G4" s="23">
        <v>9.14</v>
      </c>
      <c r="H4" s="23">
        <v>2141</v>
      </c>
      <c r="I4" s="23">
        <v>437</v>
      </c>
      <c r="J4" s="23">
        <v>10.15</v>
      </c>
      <c r="K4" s="2">
        <v>199.9</v>
      </c>
      <c r="L4" s="21">
        <v>335.9</v>
      </c>
    </row>
    <row r="5" spans="1:12" ht="16.5" thickBot="1" x14ac:dyDescent="0.3">
      <c r="A5" s="2" t="s">
        <v>16</v>
      </c>
      <c r="B5" s="2" t="s">
        <v>18</v>
      </c>
      <c r="C5" s="22">
        <v>0.46</v>
      </c>
      <c r="D5" s="23">
        <v>47.79</v>
      </c>
      <c r="E5" s="23">
        <v>5135</v>
      </c>
      <c r="F5" s="23">
        <v>1.73</v>
      </c>
      <c r="G5" s="23">
        <v>11.09</v>
      </c>
      <c r="H5" s="23">
        <v>2289</v>
      </c>
      <c r="I5" s="23">
        <v>530</v>
      </c>
      <c r="J5" s="23">
        <v>9.68</v>
      </c>
      <c r="K5" s="2">
        <v>199.9</v>
      </c>
      <c r="L5" s="21">
        <v>335.9</v>
      </c>
    </row>
    <row r="6" spans="1:12" ht="16.5" thickBot="1" x14ac:dyDescent="0.3">
      <c r="A6" s="2" t="s">
        <v>16</v>
      </c>
      <c r="B6" s="2" t="s">
        <v>18</v>
      </c>
      <c r="C6" s="22">
        <v>0.48</v>
      </c>
      <c r="D6" s="23">
        <v>47.76</v>
      </c>
      <c r="E6" s="23">
        <v>5719</v>
      </c>
      <c r="F6" s="23">
        <v>1.94</v>
      </c>
      <c r="G6" s="23">
        <v>12.95</v>
      </c>
      <c r="H6" s="23">
        <v>2416</v>
      </c>
      <c r="I6" s="23">
        <v>618</v>
      </c>
      <c r="J6" s="23">
        <v>9.25</v>
      </c>
      <c r="K6" s="2">
        <v>199.9</v>
      </c>
      <c r="L6" s="21">
        <v>335.9</v>
      </c>
    </row>
    <row r="7" spans="1:12" ht="16.5" thickBot="1" x14ac:dyDescent="0.3">
      <c r="A7" s="2" t="s">
        <v>16</v>
      </c>
      <c r="B7" s="2" t="s">
        <v>18</v>
      </c>
      <c r="C7" s="22">
        <v>0.5</v>
      </c>
      <c r="D7" s="23">
        <v>47.73</v>
      </c>
      <c r="E7" s="23">
        <v>6157</v>
      </c>
      <c r="F7" s="23">
        <v>2.08</v>
      </c>
      <c r="G7" s="23">
        <v>14.35</v>
      </c>
      <c r="H7" s="23">
        <v>2503</v>
      </c>
      <c r="I7" s="23">
        <v>685</v>
      </c>
      <c r="J7" s="23">
        <v>8.99</v>
      </c>
      <c r="K7" s="2">
        <v>199.9</v>
      </c>
      <c r="L7" s="21">
        <v>335.9</v>
      </c>
    </row>
    <row r="8" spans="1:12" ht="16.5" thickBot="1" x14ac:dyDescent="0.3">
      <c r="A8" s="2" t="s">
        <v>16</v>
      </c>
      <c r="B8" s="2" t="s">
        <v>18</v>
      </c>
      <c r="C8" s="22">
        <v>0.52</v>
      </c>
      <c r="D8" s="23">
        <v>47.71</v>
      </c>
      <c r="E8" s="23">
        <v>6592</v>
      </c>
      <c r="F8" s="23">
        <v>2.2200000000000002</v>
      </c>
      <c r="G8" s="23">
        <v>15.63</v>
      </c>
      <c r="H8" s="23">
        <v>2589</v>
      </c>
      <c r="I8" s="23">
        <v>746</v>
      </c>
      <c r="J8" s="23">
        <v>8.84</v>
      </c>
      <c r="K8" s="2">
        <v>199.9</v>
      </c>
      <c r="L8" s="21">
        <v>335.9</v>
      </c>
    </row>
    <row r="9" spans="1:12" ht="16.5" thickBot="1" x14ac:dyDescent="0.3">
      <c r="A9" s="2" t="s">
        <v>16</v>
      </c>
      <c r="B9" s="2" t="s">
        <v>18</v>
      </c>
      <c r="C9" s="22">
        <v>0.54</v>
      </c>
      <c r="D9" s="23">
        <v>47.68</v>
      </c>
      <c r="E9" s="23">
        <v>7019</v>
      </c>
      <c r="F9" s="23">
        <v>2.38</v>
      </c>
      <c r="G9" s="23">
        <v>17.190000000000001</v>
      </c>
      <c r="H9" s="23">
        <v>2673</v>
      </c>
      <c r="I9" s="23">
        <v>820</v>
      </c>
      <c r="J9" s="23">
        <v>8.56</v>
      </c>
      <c r="K9" s="2">
        <v>199.9</v>
      </c>
      <c r="L9" s="21">
        <v>335.9</v>
      </c>
    </row>
    <row r="10" spans="1:12" ht="16.5" thickBot="1" x14ac:dyDescent="0.3">
      <c r="A10" s="2" t="s">
        <v>16</v>
      </c>
      <c r="B10" s="2" t="s">
        <v>18</v>
      </c>
      <c r="C10" s="22">
        <v>0.56000000000000005</v>
      </c>
      <c r="D10" s="23">
        <v>47.65</v>
      </c>
      <c r="E10" s="23">
        <v>7493</v>
      </c>
      <c r="F10" s="23">
        <v>2.5299999999999998</v>
      </c>
      <c r="G10" s="23">
        <v>18.84</v>
      </c>
      <c r="H10" s="23">
        <v>2755</v>
      </c>
      <c r="I10" s="23">
        <v>898</v>
      </c>
      <c r="J10" s="23">
        <v>8.34</v>
      </c>
      <c r="K10" s="2">
        <v>199.9</v>
      </c>
      <c r="L10" s="21">
        <v>335.9</v>
      </c>
    </row>
    <row r="11" spans="1:12" ht="16.5" thickBot="1" x14ac:dyDescent="0.3">
      <c r="A11" s="2" t="s">
        <v>16</v>
      </c>
      <c r="B11" s="2" t="s">
        <v>18</v>
      </c>
      <c r="C11" s="22">
        <v>0.57999999999999996</v>
      </c>
      <c r="D11" s="23">
        <v>47.61</v>
      </c>
      <c r="E11" s="23">
        <v>8114</v>
      </c>
      <c r="F11" s="23">
        <v>2.74</v>
      </c>
      <c r="G11" s="23">
        <v>21.11</v>
      </c>
      <c r="H11" s="23">
        <v>2860</v>
      </c>
      <c r="I11" s="23">
        <v>1005</v>
      </c>
      <c r="J11" s="23">
        <v>8.08</v>
      </c>
      <c r="K11" s="2">
        <v>199.9</v>
      </c>
      <c r="L11" s="21">
        <v>335.9</v>
      </c>
    </row>
    <row r="12" spans="1:12" ht="16.5" thickBot="1" x14ac:dyDescent="0.3">
      <c r="A12" s="2" t="s">
        <v>16</v>
      </c>
      <c r="B12" s="2" t="s">
        <v>18</v>
      </c>
      <c r="C12" s="22">
        <v>0.6</v>
      </c>
      <c r="D12" s="23">
        <v>47.58</v>
      </c>
      <c r="E12" s="23">
        <v>8578</v>
      </c>
      <c r="F12" s="23">
        <v>2.9</v>
      </c>
      <c r="G12" s="23">
        <v>22.89</v>
      </c>
      <c r="H12" s="23">
        <v>2933</v>
      </c>
      <c r="I12" s="23">
        <v>1089</v>
      </c>
      <c r="J12" s="23">
        <v>7.88</v>
      </c>
      <c r="K12" s="2">
        <v>199.9</v>
      </c>
      <c r="L12" s="21">
        <v>335.9</v>
      </c>
    </row>
    <row r="13" spans="1:12" ht="16.5" thickBot="1" x14ac:dyDescent="0.3">
      <c r="A13" s="2" t="s">
        <v>16</v>
      </c>
      <c r="B13" s="2" t="s">
        <v>18</v>
      </c>
      <c r="C13" s="22">
        <v>0.62</v>
      </c>
      <c r="D13" s="23">
        <v>47.55</v>
      </c>
      <c r="E13" s="23">
        <v>8983</v>
      </c>
      <c r="F13" s="23">
        <v>3.04</v>
      </c>
      <c r="G13" s="23">
        <v>24.52</v>
      </c>
      <c r="H13" s="23">
        <v>3003</v>
      </c>
      <c r="I13" s="23">
        <v>1166</v>
      </c>
      <c r="J13" s="23">
        <v>7.71</v>
      </c>
      <c r="K13" s="2">
        <v>199.9</v>
      </c>
      <c r="L13" s="21">
        <v>335.9</v>
      </c>
    </row>
    <row r="14" spans="1:12" ht="16.5" thickBot="1" x14ac:dyDescent="0.3">
      <c r="A14" s="2" t="s">
        <v>16</v>
      </c>
      <c r="B14" s="2" t="s">
        <v>18</v>
      </c>
      <c r="C14" s="22">
        <v>0.64</v>
      </c>
      <c r="D14" s="23">
        <v>47.52</v>
      </c>
      <c r="E14" s="23">
        <v>9388</v>
      </c>
      <c r="F14" s="23">
        <v>3.17</v>
      </c>
      <c r="G14" s="23">
        <v>26.22</v>
      </c>
      <c r="H14" s="23">
        <v>3070</v>
      </c>
      <c r="I14" s="23">
        <v>1246</v>
      </c>
      <c r="J14" s="23">
        <v>7.53</v>
      </c>
      <c r="K14" s="2">
        <v>199.9</v>
      </c>
      <c r="L14" s="21">
        <v>335.9</v>
      </c>
    </row>
    <row r="15" spans="1:12" ht="16.5" thickBot="1" x14ac:dyDescent="0.3">
      <c r="A15" s="2" t="s">
        <v>16</v>
      </c>
      <c r="B15" s="2" t="s">
        <v>18</v>
      </c>
      <c r="C15" s="22">
        <v>0.66</v>
      </c>
      <c r="D15" s="23">
        <v>47.48</v>
      </c>
      <c r="E15" s="23">
        <v>9842</v>
      </c>
      <c r="F15" s="23">
        <v>3.35</v>
      </c>
      <c r="G15" s="23">
        <v>28.33</v>
      </c>
      <c r="H15" s="23">
        <v>3145</v>
      </c>
      <c r="I15" s="23">
        <v>1345</v>
      </c>
      <c r="J15" s="23">
        <v>7.32</v>
      </c>
      <c r="K15" s="2">
        <v>199.9</v>
      </c>
      <c r="L15" s="21">
        <v>335.9</v>
      </c>
    </row>
    <row r="16" spans="1:12" ht="16.5" thickBot="1" x14ac:dyDescent="0.3">
      <c r="A16" s="2" t="s">
        <v>16</v>
      </c>
      <c r="B16" s="2" t="s">
        <v>18</v>
      </c>
      <c r="C16" s="22">
        <v>0.68</v>
      </c>
      <c r="D16" s="23">
        <v>47.45</v>
      </c>
      <c r="E16" s="23">
        <v>10262</v>
      </c>
      <c r="F16" s="23">
        <v>3.47</v>
      </c>
      <c r="G16" s="23">
        <v>30.19</v>
      </c>
      <c r="H16" s="23">
        <v>3222</v>
      </c>
      <c r="I16" s="23">
        <v>1432</v>
      </c>
      <c r="J16" s="23">
        <v>7.16</v>
      </c>
      <c r="K16" s="2">
        <v>199.9</v>
      </c>
      <c r="L16" s="21">
        <v>335.9</v>
      </c>
    </row>
    <row r="17" spans="1:12" ht="16.5" thickBot="1" x14ac:dyDescent="0.3">
      <c r="A17" s="2" t="s">
        <v>16</v>
      </c>
      <c r="B17" s="2" t="s">
        <v>18</v>
      </c>
      <c r="C17" s="22">
        <v>0.7</v>
      </c>
      <c r="D17" s="23">
        <v>47.41</v>
      </c>
      <c r="E17" s="23">
        <v>10784</v>
      </c>
      <c r="F17" s="23">
        <v>3.66</v>
      </c>
      <c r="G17" s="23">
        <v>32.47</v>
      </c>
      <c r="H17" s="23">
        <v>3289</v>
      </c>
      <c r="I17" s="23">
        <v>1540</v>
      </c>
      <c r="J17" s="23">
        <v>7</v>
      </c>
      <c r="K17" s="2">
        <v>199.9</v>
      </c>
      <c r="L17" s="21">
        <v>335.9</v>
      </c>
    </row>
    <row r="18" spans="1:12" ht="16.5" thickBot="1" x14ac:dyDescent="0.3">
      <c r="A18" s="2" t="s">
        <v>16</v>
      </c>
      <c r="B18" s="2" t="s">
        <v>18</v>
      </c>
      <c r="C18" s="22">
        <v>0.76</v>
      </c>
      <c r="D18" s="23">
        <v>47.28</v>
      </c>
      <c r="E18" s="23">
        <v>12346</v>
      </c>
      <c r="F18" s="23">
        <v>4.1900000000000004</v>
      </c>
      <c r="G18" s="23">
        <v>39.729999999999997</v>
      </c>
      <c r="H18" s="23">
        <v>3488</v>
      </c>
      <c r="I18" s="23">
        <v>1878</v>
      </c>
      <c r="J18" s="23">
        <v>6.57</v>
      </c>
      <c r="K18" s="2">
        <v>199.9</v>
      </c>
      <c r="L18" s="21">
        <v>335.9</v>
      </c>
    </row>
    <row r="19" spans="1:12" ht="16.5" thickBot="1" x14ac:dyDescent="0.3">
      <c r="A19" s="2" t="s">
        <v>16</v>
      </c>
      <c r="B19" s="2" t="s">
        <v>18</v>
      </c>
      <c r="C19" s="22">
        <v>0.82</v>
      </c>
      <c r="D19" s="23">
        <v>47.16</v>
      </c>
      <c r="E19" s="23">
        <v>13689</v>
      </c>
      <c r="F19" s="23">
        <v>4.68</v>
      </c>
      <c r="G19" s="23">
        <v>47.11</v>
      </c>
      <c r="H19" s="23">
        <v>3679</v>
      </c>
      <c r="I19" s="23">
        <v>2222</v>
      </c>
      <c r="J19" s="23">
        <v>6.16</v>
      </c>
      <c r="K19" s="2">
        <v>199.9</v>
      </c>
      <c r="L19" s="21">
        <v>335.9</v>
      </c>
    </row>
    <row r="20" spans="1:12" ht="16.5" thickBot="1" x14ac:dyDescent="0.3">
      <c r="A20" s="2" t="s">
        <v>16</v>
      </c>
      <c r="B20" s="2" t="s">
        <v>18</v>
      </c>
      <c r="C20" s="22">
        <v>0.88</v>
      </c>
      <c r="D20" s="23">
        <v>47.02</v>
      </c>
      <c r="E20" s="23">
        <v>15158</v>
      </c>
      <c r="F20" s="23">
        <v>5.17</v>
      </c>
      <c r="G20" s="23">
        <v>54.95</v>
      </c>
      <c r="H20" s="23">
        <v>3855</v>
      </c>
      <c r="I20" s="23">
        <v>2583</v>
      </c>
      <c r="J20" s="23">
        <v>5.87</v>
      </c>
      <c r="K20" s="2">
        <v>199.9</v>
      </c>
      <c r="L20" s="21">
        <v>335.9</v>
      </c>
    </row>
    <row r="21" spans="1:12" ht="16.5" thickBot="1" x14ac:dyDescent="0.3">
      <c r="A21" s="2" t="s">
        <v>16</v>
      </c>
      <c r="B21" s="2" t="s">
        <v>18</v>
      </c>
      <c r="C21" s="22">
        <v>0.94</v>
      </c>
      <c r="D21" s="23">
        <v>46.84</v>
      </c>
      <c r="E21" s="23">
        <v>16739</v>
      </c>
      <c r="F21" s="23">
        <v>5.73</v>
      </c>
      <c r="G21" s="23">
        <v>64.69</v>
      </c>
      <c r="H21" s="23">
        <v>4037</v>
      </c>
      <c r="I21" s="23">
        <v>3030</v>
      </c>
      <c r="J21" s="23">
        <v>5.52</v>
      </c>
      <c r="K21" s="2">
        <v>199.9</v>
      </c>
      <c r="L21" s="21">
        <v>335.9</v>
      </c>
    </row>
    <row r="22" spans="1:12" ht="16.5" thickBot="1" x14ac:dyDescent="0.3">
      <c r="A22" s="2" t="s">
        <v>16</v>
      </c>
      <c r="B22" s="2" t="s">
        <v>18</v>
      </c>
      <c r="C22" s="22">
        <v>1</v>
      </c>
      <c r="D22" s="23">
        <v>46.66</v>
      </c>
      <c r="E22" s="23">
        <v>18256</v>
      </c>
      <c r="F22" s="23">
        <v>6.28</v>
      </c>
      <c r="G22" s="23">
        <v>74.97</v>
      </c>
      <c r="H22" s="23">
        <v>4209</v>
      </c>
      <c r="I22" s="23">
        <v>3498</v>
      </c>
      <c r="J22" s="23">
        <v>5.22</v>
      </c>
      <c r="K22" s="2">
        <v>199.9</v>
      </c>
      <c r="L22" s="21">
        <v>335.9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C4698-914D-44D0-9A7B-D7F3AED565DB}">
  <dimension ref="A1:L22"/>
  <sheetViews>
    <sheetView workbookViewId="0">
      <selection activeCell="F6" sqref="F6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1" width="21.42578125" customWidth="1"/>
    <col min="12" max="12" width="21.42578125" style="18" customWidth="1"/>
  </cols>
  <sheetData>
    <row r="1" spans="1:12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6.5" thickBot="1" x14ac:dyDescent="0.3">
      <c r="A2" s="2" t="s">
        <v>16</v>
      </c>
      <c r="B2" s="2" t="s">
        <v>14</v>
      </c>
      <c r="C2" s="19">
        <v>0.4</v>
      </c>
      <c r="D2" s="20">
        <v>47.85</v>
      </c>
      <c r="E2" s="20">
        <v>4027</v>
      </c>
      <c r="F2" s="20">
        <v>1.44</v>
      </c>
      <c r="G2" s="20">
        <v>8.14</v>
      </c>
      <c r="H2" s="20">
        <v>1964</v>
      </c>
      <c r="I2" s="20">
        <v>390</v>
      </c>
      <c r="J2" s="20">
        <v>10.33</v>
      </c>
      <c r="K2" s="2">
        <v>199.9</v>
      </c>
      <c r="L2" s="21">
        <v>89.9</v>
      </c>
    </row>
    <row r="3" spans="1:12" ht="16.5" thickBot="1" x14ac:dyDescent="0.3">
      <c r="A3" s="2" t="s">
        <v>16</v>
      </c>
      <c r="B3" s="2" t="s">
        <v>14</v>
      </c>
      <c r="C3" s="19">
        <v>0.42</v>
      </c>
      <c r="D3" s="20">
        <v>47.84</v>
      </c>
      <c r="E3" s="20">
        <v>4322</v>
      </c>
      <c r="F3" s="20">
        <v>1.54</v>
      </c>
      <c r="G3" s="20">
        <v>8.91</v>
      </c>
      <c r="H3" s="20">
        <v>2034</v>
      </c>
      <c r="I3" s="20">
        <v>426</v>
      </c>
      <c r="J3" s="20">
        <v>10.14</v>
      </c>
      <c r="K3" s="2">
        <v>199.9</v>
      </c>
      <c r="L3" s="21">
        <v>89.9</v>
      </c>
    </row>
    <row r="4" spans="1:12" ht="16.5" thickBot="1" x14ac:dyDescent="0.3">
      <c r="A4" s="2" t="s">
        <v>16</v>
      </c>
      <c r="B4" s="2" t="s">
        <v>14</v>
      </c>
      <c r="C4" s="19">
        <v>0.44</v>
      </c>
      <c r="D4" s="20">
        <v>47.82</v>
      </c>
      <c r="E4" s="20">
        <v>4608</v>
      </c>
      <c r="F4" s="20">
        <v>1.64</v>
      </c>
      <c r="G4" s="20">
        <v>9.81</v>
      </c>
      <c r="H4" s="20">
        <v>2103</v>
      </c>
      <c r="I4" s="20">
        <v>469</v>
      </c>
      <c r="J4" s="20">
        <v>9.82</v>
      </c>
      <c r="K4" s="2">
        <v>199.9</v>
      </c>
      <c r="L4" s="21">
        <v>89.9</v>
      </c>
    </row>
    <row r="5" spans="1:12" ht="16.5" thickBot="1" x14ac:dyDescent="0.3">
      <c r="A5" s="2" t="s">
        <v>16</v>
      </c>
      <c r="B5" s="2" t="s">
        <v>14</v>
      </c>
      <c r="C5" s="19">
        <v>0.46</v>
      </c>
      <c r="D5" s="20">
        <v>47.8</v>
      </c>
      <c r="E5" s="20">
        <v>5009</v>
      </c>
      <c r="F5" s="20">
        <v>1.79</v>
      </c>
      <c r="G5" s="20">
        <v>11.07</v>
      </c>
      <c r="H5" s="20">
        <v>2197</v>
      </c>
      <c r="I5" s="20">
        <v>529</v>
      </c>
      <c r="J5" s="20">
        <v>9.4700000000000006</v>
      </c>
      <c r="K5" s="2">
        <v>199.9</v>
      </c>
      <c r="L5" s="21">
        <v>89.9</v>
      </c>
    </row>
    <row r="6" spans="1:12" ht="16.5" thickBot="1" x14ac:dyDescent="0.3">
      <c r="A6" s="2" t="s">
        <v>16</v>
      </c>
      <c r="B6" s="2" t="s">
        <v>14</v>
      </c>
      <c r="C6" s="19">
        <v>0.48</v>
      </c>
      <c r="D6" s="20">
        <v>47.76</v>
      </c>
      <c r="E6" s="20">
        <v>5603</v>
      </c>
      <c r="F6" s="20">
        <v>1.99</v>
      </c>
      <c r="G6" s="20">
        <v>12.85</v>
      </c>
      <c r="H6" s="20">
        <v>2318</v>
      </c>
      <c r="I6" s="20">
        <v>614</v>
      </c>
      <c r="J6" s="20">
        <v>9.1300000000000008</v>
      </c>
      <c r="K6" s="2">
        <v>199.9</v>
      </c>
      <c r="L6" s="21">
        <v>89.9</v>
      </c>
    </row>
    <row r="7" spans="1:12" ht="16.5" thickBot="1" x14ac:dyDescent="0.3">
      <c r="A7" s="2" t="s">
        <v>16</v>
      </c>
      <c r="B7" s="2" t="s">
        <v>14</v>
      </c>
      <c r="C7" s="19">
        <v>0.5</v>
      </c>
      <c r="D7" s="20">
        <v>47.72</v>
      </c>
      <c r="E7" s="20">
        <v>6395</v>
      </c>
      <c r="F7" s="20">
        <v>2.2799999999999998</v>
      </c>
      <c r="G7" s="20">
        <v>15.37</v>
      </c>
      <c r="H7" s="20">
        <v>2473</v>
      </c>
      <c r="I7" s="20">
        <v>733</v>
      </c>
      <c r="J7" s="20">
        <v>8.7200000000000006</v>
      </c>
      <c r="K7" s="2">
        <v>199.9</v>
      </c>
      <c r="L7" s="21">
        <v>89.9</v>
      </c>
    </row>
    <row r="8" spans="1:12" ht="16.5" thickBot="1" x14ac:dyDescent="0.3">
      <c r="A8" s="2" t="s">
        <v>16</v>
      </c>
      <c r="B8" s="2" t="s">
        <v>14</v>
      </c>
      <c r="C8" s="19">
        <v>0.52</v>
      </c>
      <c r="D8" s="20">
        <v>47.69</v>
      </c>
      <c r="E8" s="20">
        <v>6805</v>
      </c>
      <c r="F8" s="20">
        <v>2.42</v>
      </c>
      <c r="G8" s="20">
        <v>16.8</v>
      </c>
      <c r="H8" s="20">
        <v>2553</v>
      </c>
      <c r="I8" s="20">
        <v>801</v>
      </c>
      <c r="J8" s="20">
        <v>8.5</v>
      </c>
      <c r="K8" s="2">
        <v>199.9</v>
      </c>
      <c r="L8" s="21">
        <v>89.9</v>
      </c>
    </row>
    <row r="9" spans="1:12" ht="16.5" thickBot="1" x14ac:dyDescent="0.3">
      <c r="A9" s="2" t="s">
        <v>16</v>
      </c>
      <c r="B9" s="2" t="s">
        <v>14</v>
      </c>
      <c r="C9" s="19">
        <v>0.54</v>
      </c>
      <c r="D9" s="20">
        <v>47.66</v>
      </c>
      <c r="E9" s="20">
        <v>7239</v>
      </c>
      <c r="F9" s="20">
        <v>2.57</v>
      </c>
      <c r="G9" s="20">
        <v>18.34</v>
      </c>
      <c r="H9" s="20">
        <v>2637</v>
      </c>
      <c r="I9" s="20">
        <v>874</v>
      </c>
      <c r="J9" s="20">
        <v>8.2799999999999994</v>
      </c>
      <c r="K9" s="2">
        <v>199.9</v>
      </c>
      <c r="L9" s="21">
        <v>89.9</v>
      </c>
    </row>
    <row r="10" spans="1:12" ht="16.5" thickBot="1" x14ac:dyDescent="0.3">
      <c r="A10" s="2" t="s">
        <v>16</v>
      </c>
      <c r="B10" s="2" t="s">
        <v>14</v>
      </c>
      <c r="C10" s="19">
        <v>0.56000000000000005</v>
      </c>
      <c r="D10" s="20">
        <v>47.63</v>
      </c>
      <c r="E10" s="20">
        <v>7702</v>
      </c>
      <c r="F10" s="20">
        <v>2.73</v>
      </c>
      <c r="G10" s="20">
        <v>20.059999999999999</v>
      </c>
      <c r="H10" s="20">
        <v>2715</v>
      </c>
      <c r="I10" s="20">
        <v>955</v>
      </c>
      <c r="J10" s="20">
        <v>8.06</v>
      </c>
      <c r="K10" s="2">
        <v>199.9</v>
      </c>
      <c r="L10" s="21">
        <v>89.9</v>
      </c>
    </row>
    <row r="11" spans="1:12" ht="16.5" thickBot="1" x14ac:dyDescent="0.3">
      <c r="A11" s="2" t="s">
        <v>16</v>
      </c>
      <c r="B11" s="2" t="s">
        <v>14</v>
      </c>
      <c r="C11" s="19">
        <v>0.57999999999999996</v>
      </c>
      <c r="D11" s="20">
        <v>47.6</v>
      </c>
      <c r="E11" s="20">
        <v>8219</v>
      </c>
      <c r="F11" s="20">
        <v>2.92</v>
      </c>
      <c r="G11" s="20">
        <v>21.98</v>
      </c>
      <c r="H11" s="20">
        <v>2796</v>
      </c>
      <c r="I11" s="20">
        <v>1046</v>
      </c>
      <c r="J11" s="20">
        <v>7.86</v>
      </c>
      <c r="K11" s="2">
        <v>199.9</v>
      </c>
      <c r="L11" s="21">
        <v>89.9</v>
      </c>
    </row>
    <row r="12" spans="1:12" ht="16.5" thickBot="1" x14ac:dyDescent="0.3">
      <c r="A12" s="2" t="s">
        <v>16</v>
      </c>
      <c r="B12" s="2" t="s">
        <v>14</v>
      </c>
      <c r="C12" s="19">
        <v>0.6</v>
      </c>
      <c r="D12" s="20">
        <v>47.56</v>
      </c>
      <c r="E12" s="20">
        <v>8708</v>
      </c>
      <c r="F12" s="20">
        <v>3.1</v>
      </c>
      <c r="G12" s="20">
        <v>24.13</v>
      </c>
      <c r="H12" s="20">
        <v>2886</v>
      </c>
      <c r="I12" s="20">
        <v>1148</v>
      </c>
      <c r="J12" s="20">
        <v>7.59</v>
      </c>
      <c r="K12" s="2">
        <v>199.9</v>
      </c>
      <c r="L12" s="21">
        <v>89.9</v>
      </c>
    </row>
    <row r="13" spans="1:12" ht="16.5" thickBot="1" x14ac:dyDescent="0.3">
      <c r="A13" s="2" t="s">
        <v>16</v>
      </c>
      <c r="B13" s="2" t="s">
        <v>14</v>
      </c>
      <c r="C13" s="19">
        <v>0.62</v>
      </c>
      <c r="D13" s="20">
        <v>47.53</v>
      </c>
      <c r="E13" s="20">
        <v>9147</v>
      </c>
      <c r="F13" s="20">
        <v>3.25</v>
      </c>
      <c r="G13" s="20">
        <v>25.84</v>
      </c>
      <c r="H13" s="20">
        <v>2951</v>
      </c>
      <c r="I13" s="20">
        <v>1228</v>
      </c>
      <c r="J13" s="20">
        <v>7.45</v>
      </c>
      <c r="K13" s="2">
        <v>199.9</v>
      </c>
      <c r="L13" s="21">
        <v>89.9</v>
      </c>
    </row>
    <row r="14" spans="1:12" ht="16.5" thickBot="1" x14ac:dyDescent="0.3">
      <c r="A14" s="2" t="s">
        <v>16</v>
      </c>
      <c r="B14" s="2" t="s">
        <v>14</v>
      </c>
      <c r="C14" s="19">
        <v>0.64</v>
      </c>
      <c r="D14" s="20">
        <v>47.49</v>
      </c>
      <c r="E14" s="20">
        <v>9526</v>
      </c>
      <c r="F14" s="20">
        <v>3.39</v>
      </c>
      <c r="G14" s="20">
        <v>27.85</v>
      </c>
      <c r="H14" s="20">
        <v>3029</v>
      </c>
      <c r="I14" s="20">
        <v>1323</v>
      </c>
      <c r="J14" s="20">
        <v>7.2</v>
      </c>
      <c r="K14" s="2">
        <v>199.9</v>
      </c>
      <c r="L14" s="21">
        <v>89.9</v>
      </c>
    </row>
    <row r="15" spans="1:12" ht="16.5" thickBot="1" x14ac:dyDescent="0.3">
      <c r="A15" s="2" t="s">
        <v>16</v>
      </c>
      <c r="B15" s="2" t="s">
        <v>14</v>
      </c>
      <c r="C15" s="19">
        <v>0.66</v>
      </c>
      <c r="D15" s="20">
        <v>47.45</v>
      </c>
      <c r="E15" s="20">
        <v>10077</v>
      </c>
      <c r="F15" s="20">
        <v>3.59</v>
      </c>
      <c r="G15" s="20">
        <v>30.04</v>
      </c>
      <c r="H15" s="20">
        <v>3102</v>
      </c>
      <c r="I15" s="20">
        <v>1425</v>
      </c>
      <c r="J15" s="20">
        <v>7.07</v>
      </c>
      <c r="K15" s="2">
        <v>199.9</v>
      </c>
      <c r="L15" s="21">
        <v>89.9</v>
      </c>
    </row>
    <row r="16" spans="1:12" ht="16.5" thickBot="1" x14ac:dyDescent="0.3">
      <c r="A16" s="2" t="s">
        <v>16</v>
      </c>
      <c r="B16" s="2" t="s">
        <v>14</v>
      </c>
      <c r="C16" s="19">
        <v>0.68</v>
      </c>
      <c r="D16" s="20">
        <v>47.41</v>
      </c>
      <c r="E16" s="20">
        <v>10495</v>
      </c>
      <c r="F16" s="20">
        <v>3.74</v>
      </c>
      <c r="G16" s="20">
        <v>32.119999999999997</v>
      </c>
      <c r="H16" s="20">
        <v>3174</v>
      </c>
      <c r="I16" s="20">
        <v>1523</v>
      </c>
      <c r="J16" s="20">
        <v>6.89</v>
      </c>
      <c r="K16" s="2">
        <v>199.9</v>
      </c>
      <c r="L16" s="21">
        <v>89.9</v>
      </c>
    </row>
    <row r="17" spans="1:12" ht="16.5" thickBot="1" x14ac:dyDescent="0.3">
      <c r="A17" s="2" t="s">
        <v>16</v>
      </c>
      <c r="B17" s="2" t="s">
        <v>14</v>
      </c>
      <c r="C17" s="19">
        <v>0.7</v>
      </c>
      <c r="D17" s="20">
        <v>47.37</v>
      </c>
      <c r="E17" s="20">
        <v>11049</v>
      </c>
      <c r="F17" s="20">
        <v>3.93</v>
      </c>
      <c r="G17" s="20">
        <v>34.54</v>
      </c>
      <c r="H17" s="20">
        <v>3239</v>
      </c>
      <c r="I17" s="20">
        <v>1636</v>
      </c>
      <c r="J17" s="20">
        <v>6.75</v>
      </c>
      <c r="K17" s="2">
        <v>199.9</v>
      </c>
      <c r="L17" s="21">
        <v>89.9</v>
      </c>
    </row>
    <row r="18" spans="1:12" ht="16.5" thickBot="1" x14ac:dyDescent="0.3">
      <c r="A18" s="2" t="s">
        <v>16</v>
      </c>
      <c r="B18" s="2" t="s">
        <v>14</v>
      </c>
      <c r="C18" s="19">
        <v>0.76</v>
      </c>
      <c r="D18" s="20">
        <v>47.25</v>
      </c>
      <c r="E18" s="20">
        <v>12441</v>
      </c>
      <c r="F18" s="20">
        <v>4.4400000000000004</v>
      </c>
      <c r="G18" s="20">
        <v>41.62</v>
      </c>
      <c r="H18" s="20">
        <v>3442</v>
      </c>
      <c r="I18" s="20">
        <v>1966</v>
      </c>
      <c r="J18" s="20">
        <v>6.33</v>
      </c>
      <c r="K18" s="2">
        <v>199.9</v>
      </c>
      <c r="L18" s="21">
        <v>89.9</v>
      </c>
    </row>
    <row r="19" spans="1:12" ht="16.5" thickBot="1" x14ac:dyDescent="0.3">
      <c r="A19" s="2" t="s">
        <v>16</v>
      </c>
      <c r="B19" s="2" t="s">
        <v>14</v>
      </c>
      <c r="C19" s="19">
        <v>0.82</v>
      </c>
      <c r="D19" s="20">
        <v>47.11</v>
      </c>
      <c r="E19" s="20">
        <v>13813</v>
      </c>
      <c r="F19" s="20">
        <v>4.96</v>
      </c>
      <c r="G19" s="20">
        <v>49.58</v>
      </c>
      <c r="H19" s="20">
        <v>3623</v>
      </c>
      <c r="I19" s="20">
        <v>2335</v>
      </c>
      <c r="J19" s="20">
        <v>5.91</v>
      </c>
      <c r="K19" s="2">
        <v>199.9</v>
      </c>
      <c r="L19" s="21">
        <v>89.9</v>
      </c>
    </row>
    <row r="20" spans="1:12" ht="16.5" thickBot="1" x14ac:dyDescent="0.3">
      <c r="A20" s="2" t="s">
        <v>16</v>
      </c>
      <c r="B20" s="2" t="s">
        <v>14</v>
      </c>
      <c r="C20" s="19">
        <v>0.88</v>
      </c>
      <c r="D20" s="20">
        <v>46.97</v>
      </c>
      <c r="E20" s="20">
        <v>15149</v>
      </c>
      <c r="F20" s="20">
        <v>5.43</v>
      </c>
      <c r="G20" s="20">
        <v>57.5</v>
      </c>
      <c r="H20" s="20">
        <v>3798</v>
      </c>
      <c r="I20" s="20">
        <v>2701</v>
      </c>
      <c r="J20" s="20">
        <v>5.61</v>
      </c>
      <c r="K20" s="2">
        <v>199.9</v>
      </c>
      <c r="L20" s="21">
        <v>89.9</v>
      </c>
    </row>
    <row r="21" spans="1:12" ht="16.5" thickBot="1" x14ac:dyDescent="0.3">
      <c r="A21" s="2" t="s">
        <v>16</v>
      </c>
      <c r="B21" s="2" t="s">
        <v>14</v>
      </c>
      <c r="C21" s="19">
        <v>0.94</v>
      </c>
      <c r="D21" s="20">
        <v>46.8</v>
      </c>
      <c r="E21" s="20">
        <v>16817</v>
      </c>
      <c r="F21" s="20">
        <v>5.98</v>
      </c>
      <c r="G21" s="20">
        <v>67.17</v>
      </c>
      <c r="H21" s="20">
        <v>3979</v>
      </c>
      <c r="I21" s="20">
        <v>3143</v>
      </c>
      <c r="J21" s="20">
        <v>5.35</v>
      </c>
      <c r="K21" s="2">
        <v>199.9</v>
      </c>
      <c r="L21" s="21">
        <v>89.9</v>
      </c>
    </row>
    <row r="22" spans="1:12" ht="16.5" thickBot="1" x14ac:dyDescent="0.3">
      <c r="A22" s="2" t="s">
        <v>16</v>
      </c>
      <c r="B22" s="2" t="s">
        <v>14</v>
      </c>
      <c r="C22" s="19">
        <v>1</v>
      </c>
      <c r="D22" s="20">
        <v>46.61</v>
      </c>
      <c r="E22" s="20">
        <v>18291</v>
      </c>
      <c r="F22" s="20">
        <v>6.54</v>
      </c>
      <c r="G22" s="20">
        <v>77.84</v>
      </c>
      <c r="H22" s="20">
        <v>4142</v>
      </c>
      <c r="I22" s="20">
        <v>3628</v>
      </c>
      <c r="J22" s="20">
        <v>5.04</v>
      </c>
      <c r="K22" s="2">
        <v>199.9</v>
      </c>
      <c r="L22" s="21">
        <v>89.9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A47D4-CBB3-4BF3-92E2-1B6D9F3A1C59}">
  <dimension ref="A1:L22"/>
  <sheetViews>
    <sheetView tabSelected="1" workbookViewId="0">
      <selection activeCell="H8" sqref="H8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1" width="21.42578125" customWidth="1"/>
    <col min="12" max="12" width="21.42578125" style="18" customWidth="1"/>
  </cols>
  <sheetData>
    <row r="1" spans="1:12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6.5" thickBot="1" x14ac:dyDescent="0.3">
      <c r="A2" s="2" t="s">
        <v>16</v>
      </c>
      <c r="B2" s="2" t="s">
        <v>19</v>
      </c>
      <c r="C2" s="19">
        <v>0.4</v>
      </c>
      <c r="D2" s="20">
        <v>47.88</v>
      </c>
      <c r="E2" s="20">
        <v>3371</v>
      </c>
      <c r="F2" s="20">
        <v>1.1000000000000001</v>
      </c>
      <c r="G2" s="20">
        <v>6.6</v>
      </c>
      <c r="H2" s="20">
        <v>2020</v>
      </c>
      <c r="I2" s="20">
        <v>316</v>
      </c>
      <c r="J2" s="20">
        <v>10.67</v>
      </c>
      <c r="K2" s="2">
        <v>199.9</v>
      </c>
      <c r="L2" s="21">
        <v>270.89999999999998</v>
      </c>
    </row>
    <row r="3" spans="1:12" ht="16.5" thickBot="1" x14ac:dyDescent="0.3">
      <c r="A3" s="2" t="s">
        <v>16</v>
      </c>
      <c r="B3" s="2" t="s">
        <v>19</v>
      </c>
      <c r="C3" s="19">
        <v>0.42</v>
      </c>
      <c r="D3" s="20">
        <v>47.86</v>
      </c>
      <c r="E3" s="20">
        <v>3643</v>
      </c>
      <c r="F3" s="20">
        <v>1.19</v>
      </c>
      <c r="G3" s="20">
        <v>7.32</v>
      </c>
      <c r="H3" s="20">
        <v>2097</v>
      </c>
      <c r="I3" s="20">
        <v>351</v>
      </c>
      <c r="J3" s="20">
        <v>10.39</v>
      </c>
      <c r="K3" s="2">
        <v>199.9</v>
      </c>
      <c r="L3" s="21">
        <v>270.89999999999998</v>
      </c>
    </row>
    <row r="4" spans="1:12" ht="16.5" thickBot="1" x14ac:dyDescent="0.3">
      <c r="A4" s="2" t="s">
        <v>16</v>
      </c>
      <c r="B4" s="2" t="s">
        <v>19</v>
      </c>
      <c r="C4" s="19">
        <v>0.44</v>
      </c>
      <c r="D4" s="20">
        <v>47.84</v>
      </c>
      <c r="E4" s="20">
        <v>3974</v>
      </c>
      <c r="F4" s="20">
        <v>1.3</v>
      </c>
      <c r="G4" s="20">
        <v>8.3000000000000007</v>
      </c>
      <c r="H4" s="20">
        <v>2199</v>
      </c>
      <c r="I4" s="20">
        <v>397</v>
      </c>
      <c r="J4" s="20">
        <v>10.01</v>
      </c>
      <c r="K4" s="2">
        <v>199.9</v>
      </c>
      <c r="L4" s="21">
        <v>270.89999999999998</v>
      </c>
    </row>
    <row r="5" spans="1:12" ht="16.5" thickBot="1" x14ac:dyDescent="0.3">
      <c r="A5" s="2" t="s">
        <v>16</v>
      </c>
      <c r="B5" s="2" t="s">
        <v>19</v>
      </c>
      <c r="C5" s="19">
        <v>0.46</v>
      </c>
      <c r="D5" s="20">
        <v>47.81</v>
      </c>
      <c r="E5" s="20">
        <v>4498</v>
      </c>
      <c r="F5" s="20">
        <v>1.47</v>
      </c>
      <c r="G5" s="20">
        <v>9.7200000000000006</v>
      </c>
      <c r="H5" s="20">
        <v>2332</v>
      </c>
      <c r="I5" s="20">
        <v>465</v>
      </c>
      <c r="J5" s="20">
        <v>9.68</v>
      </c>
      <c r="K5" s="2">
        <v>199.9</v>
      </c>
      <c r="L5" s="21">
        <v>270.89999999999998</v>
      </c>
    </row>
    <row r="6" spans="1:12" ht="16.5" thickBot="1" x14ac:dyDescent="0.3">
      <c r="A6" s="2" t="s">
        <v>16</v>
      </c>
      <c r="B6" s="2" t="s">
        <v>19</v>
      </c>
      <c r="C6" s="19">
        <v>0.48</v>
      </c>
      <c r="D6" s="20">
        <v>47.79</v>
      </c>
      <c r="E6" s="20">
        <v>4931</v>
      </c>
      <c r="F6" s="20">
        <v>1.61</v>
      </c>
      <c r="G6" s="20">
        <v>10.9</v>
      </c>
      <c r="H6" s="20">
        <v>2442</v>
      </c>
      <c r="I6" s="20">
        <v>521</v>
      </c>
      <c r="J6" s="20">
        <v>9.4700000000000006</v>
      </c>
      <c r="K6" s="2">
        <v>199.9</v>
      </c>
      <c r="L6" s="21">
        <v>270.89999999999998</v>
      </c>
    </row>
    <row r="7" spans="1:12" ht="16.5" thickBot="1" x14ac:dyDescent="0.3">
      <c r="A7" s="2" t="s">
        <v>16</v>
      </c>
      <c r="B7" s="2" t="s">
        <v>19</v>
      </c>
      <c r="C7" s="19">
        <v>0.5</v>
      </c>
      <c r="D7" s="20">
        <v>47.78</v>
      </c>
      <c r="E7" s="20">
        <v>5338</v>
      </c>
      <c r="F7" s="20">
        <v>1.74</v>
      </c>
      <c r="G7" s="20">
        <v>12</v>
      </c>
      <c r="H7" s="20">
        <v>2529</v>
      </c>
      <c r="I7" s="20">
        <v>573</v>
      </c>
      <c r="J7" s="20">
        <v>9.31</v>
      </c>
      <c r="K7" s="2">
        <v>199.9</v>
      </c>
      <c r="L7" s="21">
        <v>270.89999999999998</v>
      </c>
    </row>
    <row r="8" spans="1:12" ht="16.5" thickBot="1" x14ac:dyDescent="0.3">
      <c r="A8" s="2" t="s">
        <v>16</v>
      </c>
      <c r="B8" s="2" t="s">
        <v>19</v>
      </c>
      <c r="C8" s="19">
        <v>0.52</v>
      </c>
      <c r="D8" s="20">
        <v>47.74</v>
      </c>
      <c r="E8" s="20">
        <v>5850</v>
      </c>
      <c r="F8" s="20">
        <v>1.91</v>
      </c>
      <c r="G8" s="20">
        <v>13.9</v>
      </c>
      <c r="H8" s="20">
        <v>2657</v>
      </c>
      <c r="I8" s="20">
        <v>664</v>
      </c>
      <c r="J8" s="20">
        <v>8.82</v>
      </c>
      <c r="K8" s="2">
        <v>199.9</v>
      </c>
      <c r="L8" s="21">
        <v>270.89999999999998</v>
      </c>
    </row>
    <row r="9" spans="1:12" ht="16.5" thickBot="1" x14ac:dyDescent="0.3">
      <c r="A9" s="2" t="s">
        <v>16</v>
      </c>
      <c r="B9" s="2" t="s">
        <v>19</v>
      </c>
      <c r="C9" s="19">
        <v>0.54</v>
      </c>
      <c r="D9" s="20">
        <v>47.72</v>
      </c>
      <c r="E9" s="20">
        <v>6290</v>
      </c>
      <c r="F9" s="20">
        <v>2.0499999999999998</v>
      </c>
      <c r="G9" s="20">
        <v>15.25</v>
      </c>
      <c r="H9" s="20">
        <v>2755</v>
      </c>
      <c r="I9" s="20">
        <v>728</v>
      </c>
      <c r="J9" s="20">
        <v>8.64</v>
      </c>
      <c r="K9" s="2">
        <v>199.9</v>
      </c>
      <c r="L9" s="21">
        <v>270.89999999999998</v>
      </c>
    </row>
    <row r="10" spans="1:12" ht="16.5" thickBot="1" x14ac:dyDescent="0.3">
      <c r="A10" s="2" t="s">
        <v>16</v>
      </c>
      <c r="B10" s="2" t="s">
        <v>19</v>
      </c>
      <c r="C10" s="19">
        <v>0.56000000000000005</v>
      </c>
      <c r="D10" s="20">
        <v>47.68</v>
      </c>
      <c r="E10" s="20">
        <v>6778</v>
      </c>
      <c r="F10" s="20">
        <v>2.21</v>
      </c>
      <c r="G10" s="20">
        <v>17.07</v>
      </c>
      <c r="H10" s="20">
        <v>2854</v>
      </c>
      <c r="I10" s="20">
        <v>814</v>
      </c>
      <c r="J10" s="20">
        <v>8.33</v>
      </c>
      <c r="K10" s="2">
        <v>199.9</v>
      </c>
      <c r="L10" s="21">
        <v>270.89999999999998</v>
      </c>
    </row>
    <row r="11" spans="1:12" ht="16.5" thickBot="1" x14ac:dyDescent="0.3">
      <c r="A11" s="2" t="s">
        <v>16</v>
      </c>
      <c r="B11" s="2" t="s">
        <v>19</v>
      </c>
      <c r="C11" s="19">
        <v>0.57999999999999996</v>
      </c>
      <c r="D11" s="20">
        <v>47.66</v>
      </c>
      <c r="E11" s="20">
        <v>7230</v>
      </c>
      <c r="F11" s="20">
        <v>2.35</v>
      </c>
      <c r="G11" s="20">
        <v>18.52</v>
      </c>
      <c r="H11" s="20">
        <v>2936</v>
      </c>
      <c r="I11" s="20">
        <v>883</v>
      </c>
      <c r="J11" s="20">
        <v>8.19</v>
      </c>
      <c r="K11" s="2">
        <v>199.9</v>
      </c>
      <c r="L11" s="21">
        <v>270.89999999999998</v>
      </c>
    </row>
    <row r="12" spans="1:12" ht="16.5" thickBot="1" x14ac:dyDescent="0.3">
      <c r="A12" s="2" t="s">
        <v>16</v>
      </c>
      <c r="B12" s="2" t="s">
        <v>19</v>
      </c>
      <c r="C12" s="19">
        <v>0.6</v>
      </c>
      <c r="D12" s="20">
        <v>47.63</v>
      </c>
      <c r="E12" s="20">
        <v>7608</v>
      </c>
      <c r="F12" s="20">
        <v>2.4700000000000002</v>
      </c>
      <c r="G12" s="20">
        <v>19.97</v>
      </c>
      <c r="H12" s="20">
        <v>3012</v>
      </c>
      <c r="I12" s="20">
        <v>951</v>
      </c>
      <c r="J12" s="20">
        <v>8</v>
      </c>
      <c r="K12" s="2">
        <v>199.9</v>
      </c>
      <c r="L12" s="21">
        <v>270.89999999999998</v>
      </c>
    </row>
    <row r="13" spans="1:12" ht="16.5" thickBot="1" x14ac:dyDescent="0.3">
      <c r="A13" s="2" t="s">
        <v>16</v>
      </c>
      <c r="B13" s="2" t="s">
        <v>19</v>
      </c>
      <c r="C13" s="19">
        <v>0.62</v>
      </c>
      <c r="D13" s="20">
        <v>47.6</v>
      </c>
      <c r="E13" s="20">
        <v>7960</v>
      </c>
      <c r="F13" s="20">
        <v>2.59</v>
      </c>
      <c r="G13" s="20">
        <v>21.38</v>
      </c>
      <c r="H13" s="20">
        <v>3079</v>
      </c>
      <c r="I13" s="20">
        <v>1018</v>
      </c>
      <c r="J13" s="20">
        <v>7.82</v>
      </c>
      <c r="K13" s="2">
        <v>199.9</v>
      </c>
      <c r="L13" s="21">
        <v>270.89999999999998</v>
      </c>
    </row>
    <row r="14" spans="1:12" ht="16.5" thickBot="1" x14ac:dyDescent="0.3">
      <c r="A14" s="2" t="s">
        <v>16</v>
      </c>
      <c r="B14" s="2" t="s">
        <v>19</v>
      </c>
      <c r="C14" s="19">
        <v>0.64</v>
      </c>
      <c r="D14" s="20">
        <v>47.58</v>
      </c>
      <c r="E14" s="20">
        <v>8330</v>
      </c>
      <c r="F14" s="20">
        <v>2.72</v>
      </c>
      <c r="G14" s="20">
        <v>22.86</v>
      </c>
      <c r="H14" s="20">
        <v>3149</v>
      </c>
      <c r="I14" s="20">
        <v>1088</v>
      </c>
      <c r="J14" s="20">
        <v>7.66</v>
      </c>
      <c r="K14" s="2">
        <v>199.9</v>
      </c>
      <c r="L14" s="21">
        <v>270.89999999999998</v>
      </c>
    </row>
    <row r="15" spans="1:12" ht="16.5" thickBot="1" x14ac:dyDescent="0.3">
      <c r="A15" s="2" t="s">
        <v>16</v>
      </c>
      <c r="B15" s="2" t="s">
        <v>19</v>
      </c>
      <c r="C15" s="19">
        <v>0.66</v>
      </c>
      <c r="D15" s="20">
        <v>47.55</v>
      </c>
      <c r="E15" s="20">
        <v>8737</v>
      </c>
      <c r="F15" s="20">
        <v>2.84</v>
      </c>
      <c r="G15" s="20">
        <v>24.55</v>
      </c>
      <c r="H15" s="20">
        <v>3228</v>
      </c>
      <c r="I15" s="20">
        <v>1167</v>
      </c>
      <c r="J15" s="20">
        <v>7.49</v>
      </c>
      <c r="K15" s="2">
        <v>199.9</v>
      </c>
      <c r="L15" s="21">
        <v>270.89999999999998</v>
      </c>
    </row>
    <row r="16" spans="1:12" ht="16.5" thickBot="1" x14ac:dyDescent="0.3">
      <c r="A16" s="2" t="s">
        <v>16</v>
      </c>
      <c r="B16" s="2" t="s">
        <v>19</v>
      </c>
      <c r="C16" s="19">
        <v>0.68</v>
      </c>
      <c r="D16" s="20">
        <v>47.52</v>
      </c>
      <c r="E16" s="20">
        <v>9214</v>
      </c>
      <c r="F16" s="20">
        <v>2.99</v>
      </c>
      <c r="G16" s="20">
        <v>26.37</v>
      </c>
      <c r="H16" s="20">
        <v>3306</v>
      </c>
      <c r="I16" s="20">
        <v>1253</v>
      </c>
      <c r="J16" s="20">
        <v>7.35</v>
      </c>
      <c r="K16" s="2">
        <v>199.9</v>
      </c>
      <c r="L16" s="21">
        <v>270.89999999999998</v>
      </c>
    </row>
    <row r="17" spans="1:12" ht="16.5" thickBot="1" x14ac:dyDescent="0.3">
      <c r="A17" s="2" t="s">
        <v>16</v>
      </c>
      <c r="B17" s="2" t="s">
        <v>19</v>
      </c>
      <c r="C17" s="19">
        <v>0.7</v>
      </c>
      <c r="D17" s="20">
        <v>47.48</v>
      </c>
      <c r="E17" s="20">
        <v>9632</v>
      </c>
      <c r="F17" s="20">
        <v>3.14</v>
      </c>
      <c r="G17" s="20">
        <v>28.43</v>
      </c>
      <c r="H17" s="20">
        <v>3381</v>
      </c>
      <c r="I17" s="20">
        <v>1350</v>
      </c>
      <c r="J17" s="20">
        <v>7.14</v>
      </c>
      <c r="K17" s="2">
        <v>199.9</v>
      </c>
      <c r="L17" s="21">
        <v>270.89999999999998</v>
      </c>
    </row>
    <row r="18" spans="1:12" ht="16.5" thickBot="1" x14ac:dyDescent="0.3">
      <c r="A18" s="2" t="s">
        <v>16</v>
      </c>
      <c r="B18" s="2" t="s">
        <v>19</v>
      </c>
      <c r="C18" s="19">
        <v>0.76</v>
      </c>
      <c r="D18" s="20">
        <v>47.38</v>
      </c>
      <c r="E18" s="20">
        <v>10865</v>
      </c>
      <c r="F18" s="20">
        <v>3.53</v>
      </c>
      <c r="G18" s="20">
        <v>33.93</v>
      </c>
      <c r="H18" s="20">
        <v>3594</v>
      </c>
      <c r="I18" s="20">
        <v>1608</v>
      </c>
      <c r="J18" s="20">
        <v>6.76</v>
      </c>
      <c r="K18" s="2">
        <v>199.9</v>
      </c>
      <c r="L18" s="21">
        <v>270.89999999999998</v>
      </c>
    </row>
    <row r="19" spans="1:12" ht="16.5" thickBot="1" x14ac:dyDescent="0.3">
      <c r="A19" s="2" t="s">
        <v>16</v>
      </c>
      <c r="B19" s="2" t="s">
        <v>19</v>
      </c>
      <c r="C19" s="19">
        <v>0.82</v>
      </c>
      <c r="D19" s="20">
        <v>47.26</v>
      </c>
      <c r="E19" s="20">
        <v>12235</v>
      </c>
      <c r="F19" s="20">
        <v>3.99</v>
      </c>
      <c r="G19" s="20">
        <v>40.64</v>
      </c>
      <c r="H19" s="20">
        <v>3792</v>
      </c>
      <c r="I19" s="20">
        <v>1921</v>
      </c>
      <c r="J19" s="20">
        <v>6.37</v>
      </c>
      <c r="K19" s="2">
        <v>199.9</v>
      </c>
      <c r="L19" s="21">
        <v>270.89999999999998</v>
      </c>
    </row>
    <row r="20" spans="1:12" ht="16.5" thickBot="1" x14ac:dyDescent="0.3">
      <c r="A20" s="2" t="s">
        <v>16</v>
      </c>
      <c r="B20" s="2" t="s">
        <v>19</v>
      </c>
      <c r="C20" s="19">
        <v>0.88</v>
      </c>
      <c r="D20" s="20">
        <v>47.13</v>
      </c>
      <c r="E20" s="20">
        <v>13656</v>
      </c>
      <c r="F20" s="20">
        <v>4.47</v>
      </c>
      <c r="G20" s="20">
        <v>48.19</v>
      </c>
      <c r="H20" s="20">
        <v>3995</v>
      </c>
      <c r="I20" s="20">
        <v>2272</v>
      </c>
      <c r="J20" s="20">
        <v>6.01</v>
      </c>
      <c r="K20" s="2">
        <v>199.9</v>
      </c>
      <c r="L20" s="21">
        <v>270.89999999999998</v>
      </c>
    </row>
    <row r="21" spans="1:12" ht="16.5" thickBot="1" x14ac:dyDescent="0.3">
      <c r="A21" s="2" t="s">
        <v>16</v>
      </c>
      <c r="B21" s="2" t="s">
        <v>19</v>
      </c>
      <c r="C21" s="20">
        <v>9496</v>
      </c>
      <c r="D21" s="20">
        <v>46.99</v>
      </c>
      <c r="E21" s="20">
        <v>15086</v>
      </c>
      <c r="F21" s="20">
        <v>4.93</v>
      </c>
      <c r="G21" s="20">
        <v>56.17</v>
      </c>
      <c r="H21" s="20">
        <v>4185</v>
      </c>
      <c r="I21" s="20">
        <v>2640</v>
      </c>
      <c r="J21" s="20">
        <v>5.72</v>
      </c>
      <c r="K21" s="2">
        <v>199.9</v>
      </c>
      <c r="L21" s="21">
        <v>270.89999999999998</v>
      </c>
    </row>
    <row r="22" spans="1:12" ht="16.5" thickBot="1" x14ac:dyDescent="0.3">
      <c r="A22" s="2" t="s">
        <v>16</v>
      </c>
      <c r="B22" s="2" t="s">
        <v>19</v>
      </c>
      <c r="C22" s="19">
        <v>1</v>
      </c>
      <c r="D22" s="20">
        <v>46.82</v>
      </c>
      <c r="E22" s="20">
        <v>16504</v>
      </c>
      <c r="F22" s="20">
        <v>5.42</v>
      </c>
      <c r="G22" s="20">
        <v>65.180000000000007</v>
      </c>
      <c r="H22" s="20">
        <v>4371</v>
      </c>
      <c r="I22" s="20">
        <v>3052</v>
      </c>
      <c r="J22" s="20">
        <v>5.41</v>
      </c>
      <c r="K22" s="2">
        <v>199.9</v>
      </c>
      <c r="L22" s="21">
        <v>270.89999999999998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KV 100 - GF30-10.5</vt:lpstr>
      <vt:lpstr>KV 100 - MF3016</vt:lpstr>
      <vt:lpstr>KV 100 - G3211</vt:lpstr>
      <vt:lpstr>KV 100 - MF3218</vt:lpstr>
      <vt:lpstr>KV 120 - G3010.5</vt:lpstr>
      <vt:lpstr>KV 120 - MF3016</vt:lpstr>
      <vt:lpstr>KV 120 - G299.5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2022-05-21T17:00:12Z</dcterms:modified>
</cp:coreProperties>
</file>