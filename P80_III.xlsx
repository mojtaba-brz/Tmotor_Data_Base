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filterPrivacy="1" defaultThemeVersion="124226"/>
  <xr:revisionPtr revIDLastSave="0" documentId="13_ncr:1_{3C10E53B-8F33-487F-AF82-91ECF26F0AD5}" xr6:coauthVersionLast="47" xr6:coauthVersionMax="47" xr10:uidLastSave="{00000000-0000-0000-0000-000000000000}"/>
  <bookViews>
    <workbookView xWindow="-2880" yWindow="450" windowWidth="27810" windowHeight="15480" activeTab="1" xr2:uid="{00000000-000D-0000-FFFF-FFFF00000000}"/>
  </bookViews>
  <sheets>
    <sheet name="KV 100 - GF30-10.5" sheetId="1" r:id="rId1"/>
    <sheet name="KV 100 - MF3016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6" i="2" l="1"/>
  <c r="F6" i="2"/>
  <c r="F3" i="2"/>
  <c r="E8" i="2"/>
  <c r="F9" i="2"/>
  <c r="F8" i="2"/>
  <c r="J3" i="2"/>
  <c r="H9" i="2"/>
  <c r="H8" i="2"/>
  <c r="J5" i="1" l="1"/>
  <c r="J4" i="1"/>
  <c r="F12" i="1"/>
  <c r="F11" i="1"/>
  <c r="F7" i="1"/>
  <c r="F6" i="1"/>
  <c r="F5" i="1"/>
  <c r="F4" i="1"/>
  <c r="J3" i="1"/>
  <c r="G12" i="1"/>
  <c r="E21" i="1"/>
  <c r="E22" i="1"/>
  <c r="E11" i="1"/>
  <c r="E7" i="1"/>
</calcChain>
</file>

<file path=xl/sharedStrings.xml><?xml version="1.0" encoding="utf-8"?>
<sst xmlns="http://schemas.openxmlformats.org/spreadsheetml/2006/main" count="108" uniqueCount="15">
  <si>
    <t>Type</t>
  </si>
  <si>
    <t>Propeller</t>
  </si>
  <si>
    <t>throttle</t>
  </si>
  <si>
    <t>Voltage [v]</t>
  </si>
  <si>
    <t>Thrust [gram]</t>
  </si>
  <si>
    <t>Torque [N*m]</t>
  </si>
  <si>
    <t>Current [A]</t>
  </si>
  <si>
    <t>RPM</t>
  </si>
  <si>
    <t>Power [W]</t>
  </si>
  <si>
    <t>Thrust/Power</t>
  </si>
  <si>
    <t>KV100</t>
  </si>
  <si>
    <t>GF30 10.5 CF</t>
  </si>
  <si>
    <t>price of motor</t>
  </si>
  <si>
    <t>price of prop</t>
  </si>
  <si>
    <t>MF3016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</si>
</sst>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.00;###0.00"/>
    <numFmt numFmtId="165" formatCode="###0;###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2" fillId="0" borderId="0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Fill="1" applyBorder="1" applyAlignment="1">
      <alignment horizontal="center" vertical="center" wrapText="1"/>
    </xf>
    <xf numFmtId="165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9" fontId="2" fillId="0" borderId="0" xfId="1" applyNumberFormat="1" applyFont="1" applyFill="1" applyBorder="1" applyAlignment="1">
      <alignment horizontal="center" vertical="center" wrapText="1"/>
    </xf>
    <xf numFmtId="49" fontId="2" fillId="0" borderId="0" xfId="1" applyNumberFormat="1" applyFont="1" applyFill="1" applyBorder="1" applyAlignment="1">
      <alignment horizontal="center" vertical="center" wrapText="1"/>
    </xf>
    <xf numFmtId="165" fontId="2" fillId="0" borderId="0" xfId="1" applyNumberFormat="1" applyFont="1" applyFill="1" applyBorder="1" applyAlignment="1">
      <alignment horizontal="center" vertical="center" wrapText="1"/>
    </xf>
    <xf numFmtId="164" fontId="2" fillId="0" borderId="0" xfId="1" applyNumberFormat="1" applyFont="1" applyFill="1" applyBorder="1" applyAlignment="1">
      <alignment horizontal="center" vertical="center" wrapText="1"/>
    </xf>
    <xf numFmtId="0" fontId="2" fillId="0" borderId="0" xfId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28"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###0.00;#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5" formatCode="###0;#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5" formatCode="###0;#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###0.00;#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###0.00;#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5" formatCode="###0;#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4" formatCode="###0.00;###0.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22" totalsRowShown="0" headerRowDxfId="27" dataDxfId="26">
  <autoFilter ref="A1:L22" xr:uid="{00000000-0009-0000-0100-000001000000}"/>
  <tableColumns count="12">
    <tableColumn id="1" xr3:uid="{00000000-0010-0000-0000-000001000000}" name="Type" dataDxfId="25"/>
    <tableColumn id="2" xr3:uid="{00000000-0010-0000-0000-000002000000}" name="Propeller" dataDxfId="24"/>
    <tableColumn id="3" xr3:uid="{00000000-0010-0000-0000-000003000000}" name="throttle" dataDxfId="23"/>
    <tableColumn id="4" xr3:uid="{00000000-0010-0000-0000-000004000000}" name="Voltage [v]" dataDxfId="22"/>
    <tableColumn id="5" xr3:uid="{00000000-0010-0000-0000-000005000000}" name="Thrust [gram]" dataDxfId="21"/>
    <tableColumn id="6" xr3:uid="{00000000-0010-0000-0000-000006000000}" name="Torque [N*m]" dataDxfId="20"/>
    <tableColumn id="7" xr3:uid="{00000000-0010-0000-0000-000007000000}" name="Current [A]" dataDxfId="19"/>
    <tableColumn id="8" xr3:uid="{00000000-0010-0000-0000-000008000000}" name="RPM" dataDxfId="18"/>
    <tableColumn id="9" xr3:uid="{00000000-0010-0000-0000-000009000000}" name="Power [W]" dataDxfId="17"/>
    <tableColumn id="10" xr3:uid="{00000000-0010-0000-0000-00000A000000}" name="Thrust/Power" dataDxfId="16"/>
    <tableColumn id="11" xr3:uid="{00000000-0010-0000-0000-00000B000000}" name="price of motor" dataDxfId="15"/>
    <tableColumn id="12" xr3:uid="{00000000-0010-0000-0000-00000C000000}" name="price of prop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14" displayName="Table14" ref="A1:L22" totalsRowShown="0" headerRowDxfId="13" dataDxfId="12">
  <autoFilter ref="A1:L22" xr:uid="{00000000-0009-0000-0100-000003000000}"/>
  <tableColumns count="12">
    <tableColumn id="1" xr3:uid="{00000000-0010-0000-0100-000001000000}" name="Type" dataDxfId="11"/>
    <tableColumn id="2" xr3:uid="{00000000-0010-0000-0100-000002000000}" name="Propeller" dataDxfId="10"/>
    <tableColumn id="3" xr3:uid="{00000000-0010-0000-0100-000003000000}" name="throttle" dataDxfId="9"/>
    <tableColumn id="4" xr3:uid="{00000000-0010-0000-0100-000004000000}" name="Voltage [v]" dataDxfId="8"/>
    <tableColumn id="5" xr3:uid="{00000000-0010-0000-0100-000005000000}" name="Thrust [gram]" dataDxfId="7"/>
    <tableColumn id="6" xr3:uid="{00000000-0010-0000-0100-000006000000}" name="Torque [N*m]" dataDxfId="6"/>
    <tableColumn id="7" xr3:uid="{00000000-0010-0000-0100-000007000000}" name="Current [A]" dataDxfId="5"/>
    <tableColumn id="8" xr3:uid="{00000000-0010-0000-0100-000008000000}" name="RPM" dataDxfId="4"/>
    <tableColumn id="9" xr3:uid="{00000000-0010-0000-0100-000009000000}" name="Power [W]" dataDxfId="3"/>
    <tableColumn id="10" xr3:uid="{00000000-0010-0000-0100-00000A000000}" name="Thrust/Power" dataDxfId="2"/>
    <tableColumn id="11" xr3:uid="{00000000-0010-0000-0100-00000B000000}" name="price of motor" dataDxfId="1"/>
    <tableColumn id="12" xr3:uid="{00000000-0010-0000-0100-00000C000000}" name="price of pro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workbookViewId="0">
      <selection activeCell="J29" sqref="J29"/>
    </sheetView>
  </sheetViews>
  <sheetFormatPr defaultRowHeight="15" x14ac:dyDescent="0.25"/>
  <cols>
    <col min="1" max="1" width="21.85546875" style="1" customWidth="1"/>
    <col min="2" max="2" width="22.85546875" style="1" customWidth="1"/>
    <col min="3" max="3" width="13.85546875" style="1" customWidth="1"/>
    <col min="4" max="4" width="15.42578125" style="1" customWidth="1"/>
    <col min="5" max="5" width="14.7109375" style="1" customWidth="1"/>
    <col min="6" max="6" width="16.42578125" style="1" customWidth="1"/>
    <col min="7" max="7" width="18.28515625" style="1" customWidth="1"/>
    <col min="8" max="8" width="17.42578125" style="1" customWidth="1"/>
    <col min="9" max="9" width="17.140625" style="1" customWidth="1"/>
    <col min="10" max="10" width="19.28515625" style="1" customWidth="1"/>
    <col min="11" max="12" width="21.42578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</v>
      </c>
      <c r="L1" s="1" t="s">
        <v>13</v>
      </c>
    </row>
    <row r="2" spans="1:12" ht="15.75" x14ac:dyDescent="0.25">
      <c r="A2" s="2" t="s">
        <v>10</v>
      </c>
      <c r="B2" s="2" t="s">
        <v>11</v>
      </c>
      <c r="C2" s="7">
        <v>0.4</v>
      </c>
      <c r="D2" s="8">
        <v>47.91</v>
      </c>
      <c r="E2" s="9">
        <v>2850</v>
      </c>
      <c r="F2" s="10">
        <v>0.97</v>
      </c>
      <c r="G2" s="10">
        <v>4.97</v>
      </c>
      <c r="H2" s="9">
        <v>1719</v>
      </c>
      <c r="I2" s="9">
        <v>238</v>
      </c>
      <c r="J2" s="10">
        <v>11.96</v>
      </c>
      <c r="K2" s="2">
        <v>199.9</v>
      </c>
      <c r="L2" s="12">
        <v>357.9</v>
      </c>
    </row>
    <row r="3" spans="1:12" ht="15.75" x14ac:dyDescent="0.25">
      <c r="A3" s="2" t="s">
        <v>10</v>
      </c>
      <c r="B3" s="2" t="s">
        <v>11</v>
      </c>
      <c r="C3" s="7">
        <v>0.42</v>
      </c>
      <c r="D3" s="8">
        <v>47.9</v>
      </c>
      <c r="E3" s="9">
        <v>3108</v>
      </c>
      <c r="F3" s="10">
        <v>1.06</v>
      </c>
      <c r="G3" s="10">
        <v>5.54</v>
      </c>
      <c r="H3" s="9">
        <v>1783</v>
      </c>
      <c r="I3" s="9">
        <v>265</v>
      </c>
      <c r="J3" s="11">
        <f>11.72</f>
        <v>11.72</v>
      </c>
      <c r="K3" s="2">
        <v>199.9</v>
      </c>
      <c r="L3" s="12">
        <v>357.9</v>
      </c>
    </row>
    <row r="4" spans="1:12" ht="15.75" x14ac:dyDescent="0.25">
      <c r="A4" s="2" t="s">
        <v>10</v>
      </c>
      <c r="B4" s="2" t="s">
        <v>11</v>
      </c>
      <c r="C4" s="7">
        <v>0.44</v>
      </c>
      <c r="D4" s="8">
        <v>47.88</v>
      </c>
      <c r="E4" s="9">
        <v>3331</v>
      </c>
      <c r="F4" s="11">
        <f>1.13</f>
        <v>1.1299999999999999</v>
      </c>
      <c r="G4" s="10">
        <v>6.07</v>
      </c>
      <c r="H4" s="9">
        <v>1849</v>
      </c>
      <c r="I4" s="9">
        <v>291</v>
      </c>
      <c r="J4" s="11">
        <f>11.46</f>
        <v>11.46</v>
      </c>
      <c r="K4" s="2">
        <v>199.9</v>
      </c>
      <c r="L4" s="12">
        <v>357.9</v>
      </c>
    </row>
    <row r="5" spans="1:12" ht="15.75" x14ac:dyDescent="0.25">
      <c r="A5" s="2" t="s">
        <v>10</v>
      </c>
      <c r="B5" s="2" t="s">
        <v>11</v>
      </c>
      <c r="C5" s="7">
        <v>0.46</v>
      </c>
      <c r="D5" s="8">
        <v>47.87</v>
      </c>
      <c r="E5" s="9">
        <v>3571</v>
      </c>
      <c r="F5" s="11">
        <f>1.22</f>
        <v>1.22</v>
      </c>
      <c r="G5" s="10">
        <v>6.65</v>
      </c>
      <c r="H5" s="9">
        <v>1913</v>
      </c>
      <c r="I5" s="9">
        <v>318</v>
      </c>
      <c r="J5" s="11">
        <f>11.23</f>
        <v>11.23</v>
      </c>
      <c r="K5" s="2">
        <v>199.9</v>
      </c>
      <c r="L5" s="12">
        <v>357.9</v>
      </c>
    </row>
    <row r="6" spans="1:12" ht="15.75" x14ac:dyDescent="0.25">
      <c r="A6" s="2" t="s">
        <v>10</v>
      </c>
      <c r="B6" s="2" t="s">
        <v>11</v>
      </c>
      <c r="C6" s="7">
        <v>0.48</v>
      </c>
      <c r="D6" s="8">
        <v>47.87</v>
      </c>
      <c r="E6" s="9">
        <v>3859</v>
      </c>
      <c r="F6" s="11">
        <f>1.3</f>
        <v>1.3</v>
      </c>
      <c r="G6" s="10">
        <v>7.29</v>
      </c>
      <c r="H6" s="9">
        <v>1981</v>
      </c>
      <c r="I6" s="9">
        <v>349</v>
      </c>
      <c r="J6" s="10">
        <v>11.06</v>
      </c>
      <c r="K6" s="2">
        <v>199.9</v>
      </c>
      <c r="L6" s="12">
        <v>357.9</v>
      </c>
    </row>
    <row r="7" spans="1:12" ht="15.75" x14ac:dyDescent="0.25">
      <c r="A7" s="2" t="s">
        <v>10</v>
      </c>
      <c r="B7" s="2" t="s">
        <v>11</v>
      </c>
      <c r="C7" s="7">
        <v>0.5</v>
      </c>
      <c r="D7" s="8">
        <v>47.85</v>
      </c>
      <c r="E7" s="11">
        <f>4114</f>
        <v>4114</v>
      </c>
      <c r="F7" s="11">
        <f>1.39</f>
        <v>1.39</v>
      </c>
      <c r="G7" s="10">
        <v>7.99</v>
      </c>
      <c r="H7" s="9">
        <v>2040</v>
      </c>
      <c r="I7" s="9">
        <v>382</v>
      </c>
      <c r="J7" s="10">
        <v>10.77</v>
      </c>
      <c r="K7" s="2">
        <v>199.9</v>
      </c>
      <c r="L7" s="12">
        <v>357.9</v>
      </c>
    </row>
    <row r="8" spans="1:12" ht="15.75" x14ac:dyDescent="0.25">
      <c r="A8" s="2" t="s">
        <v>10</v>
      </c>
      <c r="B8" s="2" t="s">
        <v>11</v>
      </c>
      <c r="C8" s="7">
        <v>0.52</v>
      </c>
      <c r="D8" s="8">
        <v>47.84</v>
      </c>
      <c r="E8" s="9">
        <v>4439</v>
      </c>
      <c r="F8" s="10">
        <v>1.5</v>
      </c>
      <c r="G8" s="10">
        <v>8.8000000000000007</v>
      </c>
      <c r="H8" s="9">
        <v>2125</v>
      </c>
      <c r="I8" s="9">
        <v>421</v>
      </c>
      <c r="J8" s="10">
        <v>10.54</v>
      </c>
      <c r="K8" s="2">
        <v>199.9</v>
      </c>
      <c r="L8" s="12">
        <v>357.9</v>
      </c>
    </row>
    <row r="9" spans="1:12" ht="15.75" x14ac:dyDescent="0.25">
      <c r="A9" s="2" t="s">
        <v>10</v>
      </c>
      <c r="B9" s="2" t="s">
        <v>11</v>
      </c>
      <c r="C9" s="7">
        <v>0.54</v>
      </c>
      <c r="D9" s="8">
        <v>47.81</v>
      </c>
      <c r="E9" s="9">
        <v>4748</v>
      </c>
      <c r="F9" s="10">
        <v>1.61</v>
      </c>
      <c r="G9" s="10">
        <v>9.8000000000000007</v>
      </c>
      <c r="H9" s="9">
        <v>2204</v>
      </c>
      <c r="I9" s="9">
        <v>468</v>
      </c>
      <c r="J9" s="10">
        <v>10.14</v>
      </c>
      <c r="K9" s="2">
        <v>199.9</v>
      </c>
      <c r="L9" s="12">
        <v>357.9</v>
      </c>
    </row>
    <row r="10" spans="1:12" ht="15.75" x14ac:dyDescent="0.25">
      <c r="A10" s="2" t="s">
        <v>10</v>
      </c>
      <c r="B10" s="2" t="s">
        <v>11</v>
      </c>
      <c r="C10" s="7">
        <v>0.56000000000000005</v>
      </c>
      <c r="D10" s="8">
        <v>47.79</v>
      </c>
      <c r="E10" s="9">
        <v>5143</v>
      </c>
      <c r="F10" s="10">
        <v>1.75</v>
      </c>
      <c r="G10" s="10">
        <v>10.89</v>
      </c>
      <c r="H10" s="9">
        <v>2292</v>
      </c>
      <c r="I10" s="9">
        <v>520</v>
      </c>
      <c r="J10" s="10">
        <v>9.8800000000000008</v>
      </c>
      <c r="K10" s="2">
        <v>199.9</v>
      </c>
      <c r="L10" s="12">
        <v>357.9</v>
      </c>
    </row>
    <row r="11" spans="1:12" ht="15.75" x14ac:dyDescent="0.25">
      <c r="A11" s="2" t="s">
        <v>10</v>
      </c>
      <c r="B11" s="2" t="s">
        <v>11</v>
      </c>
      <c r="C11" s="7">
        <v>0.57999999999999996</v>
      </c>
      <c r="D11" s="8">
        <v>47.76</v>
      </c>
      <c r="E11" s="11">
        <f>5515</f>
        <v>5515</v>
      </c>
      <c r="F11" s="11">
        <f>1.88</f>
        <v>1.88</v>
      </c>
      <c r="G11" s="10">
        <v>12.2</v>
      </c>
      <c r="H11" s="9">
        <v>2386</v>
      </c>
      <c r="I11" s="9">
        <v>582</v>
      </c>
      <c r="J11" s="10">
        <v>9.4700000000000006</v>
      </c>
      <c r="K11" s="2">
        <v>199.9</v>
      </c>
      <c r="L11" s="12">
        <v>357.9</v>
      </c>
    </row>
    <row r="12" spans="1:12" ht="15.75" x14ac:dyDescent="0.25">
      <c r="A12" s="2" t="s">
        <v>10</v>
      </c>
      <c r="B12" s="2" t="s">
        <v>11</v>
      </c>
      <c r="C12" s="7">
        <v>0.6</v>
      </c>
      <c r="D12" s="8">
        <v>47.75</v>
      </c>
      <c r="E12" s="9">
        <v>5886</v>
      </c>
      <c r="F12" s="11">
        <f>1.99</f>
        <v>1.99</v>
      </c>
      <c r="G12" s="11">
        <f>13.11</f>
        <v>13.11</v>
      </c>
      <c r="H12" s="9">
        <v>2459</v>
      </c>
      <c r="I12" s="9">
        <v>626</v>
      </c>
      <c r="J12" s="10">
        <v>9.41</v>
      </c>
      <c r="K12" s="2">
        <v>199.9</v>
      </c>
      <c r="L12" s="12">
        <v>357.9</v>
      </c>
    </row>
    <row r="13" spans="1:12" ht="15.75" x14ac:dyDescent="0.25">
      <c r="A13" s="2" t="s">
        <v>10</v>
      </c>
      <c r="B13" s="2" t="s">
        <v>11</v>
      </c>
      <c r="C13" s="7">
        <v>0.62</v>
      </c>
      <c r="D13" s="8">
        <v>47.72</v>
      </c>
      <c r="E13" s="9">
        <v>6306</v>
      </c>
      <c r="F13" s="10">
        <v>2.14</v>
      </c>
      <c r="G13" s="10">
        <v>14.39</v>
      </c>
      <c r="H13" s="9">
        <v>2531</v>
      </c>
      <c r="I13" s="9">
        <v>687</v>
      </c>
      <c r="J13" s="10">
        <v>9.18</v>
      </c>
      <c r="K13" s="2">
        <v>199.9</v>
      </c>
      <c r="L13" s="12">
        <v>357.9</v>
      </c>
    </row>
    <row r="14" spans="1:12" ht="15.75" x14ac:dyDescent="0.25">
      <c r="A14" s="2" t="s">
        <v>10</v>
      </c>
      <c r="B14" s="2" t="s">
        <v>11</v>
      </c>
      <c r="C14" s="7">
        <v>0.64</v>
      </c>
      <c r="D14" s="8">
        <v>47.71</v>
      </c>
      <c r="E14" s="9">
        <v>6649</v>
      </c>
      <c r="F14" s="10">
        <v>2.25</v>
      </c>
      <c r="G14" s="10">
        <v>15.56</v>
      </c>
      <c r="H14" s="9">
        <v>2610</v>
      </c>
      <c r="I14" s="9">
        <v>742</v>
      </c>
      <c r="J14" s="10">
        <v>8.9600000000000009</v>
      </c>
      <c r="K14" s="2">
        <v>199.9</v>
      </c>
      <c r="L14" s="12">
        <v>357.9</v>
      </c>
    </row>
    <row r="15" spans="1:12" ht="15.75" x14ac:dyDescent="0.25">
      <c r="A15" s="2" t="s">
        <v>10</v>
      </c>
      <c r="B15" s="2" t="s">
        <v>11</v>
      </c>
      <c r="C15" s="7">
        <v>0.66</v>
      </c>
      <c r="D15" s="8">
        <v>47.67</v>
      </c>
      <c r="E15" s="9">
        <v>7061</v>
      </c>
      <c r="F15" s="10">
        <v>2.39</v>
      </c>
      <c r="G15" s="10">
        <v>17</v>
      </c>
      <c r="H15" s="9">
        <v>2683</v>
      </c>
      <c r="I15" s="9">
        <v>810</v>
      </c>
      <c r="J15" s="10">
        <v>8.7200000000000006</v>
      </c>
      <c r="K15" s="2">
        <v>199.9</v>
      </c>
      <c r="L15" s="12">
        <v>357.9</v>
      </c>
    </row>
    <row r="16" spans="1:12" ht="15.75" x14ac:dyDescent="0.25">
      <c r="A16" s="2" t="s">
        <v>10</v>
      </c>
      <c r="B16" s="2" t="s">
        <v>11</v>
      </c>
      <c r="C16" s="7">
        <v>0.68</v>
      </c>
      <c r="D16" s="8">
        <v>47.66</v>
      </c>
      <c r="E16" s="9">
        <v>7434</v>
      </c>
      <c r="F16" s="10">
        <v>2.5099999999999998</v>
      </c>
      <c r="G16" s="10">
        <v>18.22</v>
      </c>
      <c r="H16" s="9">
        <v>2755</v>
      </c>
      <c r="I16" s="9">
        <v>868</v>
      </c>
      <c r="J16" s="10">
        <v>8.56</v>
      </c>
      <c r="K16" s="2">
        <v>199.9</v>
      </c>
      <c r="L16" s="12">
        <v>357.9</v>
      </c>
    </row>
    <row r="17" spans="1:12" ht="15.75" x14ac:dyDescent="0.25">
      <c r="A17" s="2" t="s">
        <v>10</v>
      </c>
      <c r="B17" s="2" t="s">
        <v>11</v>
      </c>
      <c r="C17" s="7">
        <v>0.7</v>
      </c>
      <c r="D17" s="8">
        <v>47.62</v>
      </c>
      <c r="E17" s="9">
        <v>7886</v>
      </c>
      <c r="F17" s="10">
        <v>2.67</v>
      </c>
      <c r="G17" s="10">
        <v>20.149999999999999</v>
      </c>
      <c r="H17" s="9">
        <v>2836</v>
      </c>
      <c r="I17" s="9">
        <v>960</v>
      </c>
      <c r="J17" s="10">
        <v>8.2200000000000006</v>
      </c>
      <c r="K17" s="2">
        <v>199.9</v>
      </c>
      <c r="L17" s="12">
        <v>357.9</v>
      </c>
    </row>
    <row r="18" spans="1:12" ht="15.75" x14ac:dyDescent="0.25">
      <c r="A18" s="2" t="s">
        <v>10</v>
      </c>
      <c r="B18" s="2" t="s">
        <v>11</v>
      </c>
      <c r="C18" s="7">
        <v>0.76</v>
      </c>
      <c r="D18" s="8">
        <v>47.54</v>
      </c>
      <c r="E18" s="9">
        <v>9074</v>
      </c>
      <c r="F18" s="10">
        <v>3.07</v>
      </c>
      <c r="G18" s="10">
        <v>24.34</v>
      </c>
      <c r="H18" s="9">
        <v>3030</v>
      </c>
      <c r="I18" s="9">
        <v>1157</v>
      </c>
      <c r="J18" s="10">
        <v>7.84</v>
      </c>
      <c r="K18" s="2">
        <v>199.9</v>
      </c>
      <c r="L18" s="12">
        <v>357.9</v>
      </c>
    </row>
    <row r="19" spans="1:12" ht="15.75" x14ac:dyDescent="0.25">
      <c r="A19" s="2" t="s">
        <v>10</v>
      </c>
      <c r="B19" s="2" t="s">
        <v>11</v>
      </c>
      <c r="C19" s="7">
        <v>0.82</v>
      </c>
      <c r="D19" s="8">
        <v>47.45</v>
      </c>
      <c r="E19" s="9">
        <v>10215</v>
      </c>
      <c r="F19" s="10">
        <v>3.45</v>
      </c>
      <c r="G19" s="10">
        <v>29.34</v>
      </c>
      <c r="H19" s="9">
        <v>3223</v>
      </c>
      <c r="I19" s="9">
        <v>1392</v>
      </c>
      <c r="J19" s="10">
        <v>7.34</v>
      </c>
      <c r="K19" s="2">
        <v>199.9</v>
      </c>
      <c r="L19" s="12">
        <v>357.9</v>
      </c>
    </row>
    <row r="20" spans="1:12" ht="15.75" x14ac:dyDescent="0.25">
      <c r="A20" s="2" t="s">
        <v>10</v>
      </c>
      <c r="B20" s="2" t="s">
        <v>11</v>
      </c>
      <c r="C20" s="7">
        <v>0.88</v>
      </c>
      <c r="D20" s="8">
        <v>47.36</v>
      </c>
      <c r="E20" s="9">
        <v>11500</v>
      </c>
      <c r="F20" s="10">
        <v>3.88</v>
      </c>
      <c r="G20" s="10">
        <v>34.75</v>
      </c>
      <c r="H20" s="9">
        <v>3397</v>
      </c>
      <c r="I20" s="9">
        <v>1646</v>
      </c>
      <c r="J20" s="10">
        <v>6.99</v>
      </c>
      <c r="K20" s="2">
        <v>199.9</v>
      </c>
      <c r="L20" s="12">
        <v>357.9</v>
      </c>
    </row>
    <row r="21" spans="1:12" ht="15.75" x14ac:dyDescent="0.25">
      <c r="A21" s="2" t="s">
        <v>10</v>
      </c>
      <c r="B21" s="2" t="s">
        <v>11</v>
      </c>
      <c r="C21" s="7">
        <v>0.94</v>
      </c>
      <c r="D21" s="8">
        <v>47.26</v>
      </c>
      <c r="E21" s="9">
        <f>12603</f>
        <v>12603</v>
      </c>
      <c r="F21" s="10">
        <v>4.28</v>
      </c>
      <c r="G21" s="10">
        <v>40.33</v>
      </c>
      <c r="H21" s="9">
        <v>3569</v>
      </c>
      <c r="I21" s="9">
        <v>1906</v>
      </c>
      <c r="J21" s="10">
        <v>6.61</v>
      </c>
      <c r="K21" s="2">
        <v>199.9</v>
      </c>
      <c r="L21" s="12">
        <v>357.9</v>
      </c>
    </row>
    <row r="22" spans="1:12" ht="15.75" x14ac:dyDescent="0.25">
      <c r="A22" s="2" t="s">
        <v>10</v>
      </c>
      <c r="B22" s="2" t="s">
        <v>11</v>
      </c>
      <c r="C22" s="7">
        <v>1</v>
      </c>
      <c r="D22" s="8">
        <v>47.15</v>
      </c>
      <c r="E22" s="11">
        <f>14011</f>
        <v>14011</v>
      </c>
      <c r="F22" s="10">
        <v>4.78</v>
      </c>
      <c r="G22" s="10">
        <v>46.99</v>
      </c>
      <c r="H22" s="9">
        <v>3747</v>
      </c>
      <c r="I22" s="9">
        <v>2215</v>
      </c>
      <c r="J22" s="10">
        <v>6.33</v>
      </c>
      <c r="K22" s="2">
        <v>199.9</v>
      </c>
      <c r="L22" s="12">
        <v>357.9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"/>
  <sheetViews>
    <sheetView tabSelected="1" workbookViewId="0">
      <selection activeCell="H17" sqref="H17"/>
    </sheetView>
  </sheetViews>
  <sheetFormatPr defaultRowHeight="15" x14ac:dyDescent="0.25"/>
  <cols>
    <col min="1" max="1" width="21.85546875" style="1" customWidth="1"/>
    <col min="2" max="2" width="22.85546875" style="1" customWidth="1"/>
    <col min="3" max="3" width="13.85546875" style="1" customWidth="1"/>
    <col min="4" max="4" width="15.42578125" style="1" customWidth="1"/>
    <col min="5" max="5" width="14.7109375" style="1" customWidth="1"/>
    <col min="6" max="6" width="16.42578125" style="1" customWidth="1"/>
    <col min="7" max="7" width="18.28515625" style="1" customWidth="1"/>
    <col min="8" max="8" width="17.42578125" style="1" customWidth="1"/>
    <col min="9" max="9" width="17.140625" style="1" customWidth="1"/>
    <col min="10" max="10" width="19.28515625" style="1" customWidth="1"/>
    <col min="11" max="12" width="21.42578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</v>
      </c>
      <c r="L1" s="1" t="s">
        <v>13</v>
      </c>
    </row>
    <row r="2" spans="1:12" ht="15.75" x14ac:dyDescent="0.25">
      <c r="A2" s="2" t="s">
        <v>10</v>
      </c>
      <c r="B2" s="2" t="s">
        <v>14</v>
      </c>
      <c r="C2" s="3">
        <v>0.4</v>
      </c>
      <c r="D2" s="4">
        <v>47.89</v>
      </c>
      <c r="E2" s="5">
        <v>3050</v>
      </c>
      <c r="F2" s="4">
        <v>1.0900000000000001</v>
      </c>
      <c r="G2" s="4">
        <v>5.32</v>
      </c>
      <c r="H2" s="5">
        <v>1712</v>
      </c>
      <c r="I2" s="5">
        <v>255</v>
      </c>
      <c r="J2" s="4">
        <v>11.97</v>
      </c>
      <c r="K2" s="2">
        <v>199.9</v>
      </c>
      <c r="L2" s="2">
        <v>89.9</v>
      </c>
    </row>
    <row r="3" spans="1:12" ht="15.75" x14ac:dyDescent="0.25">
      <c r="A3" s="2" t="s">
        <v>10</v>
      </c>
      <c r="B3" s="2" t="s">
        <v>14</v>
      </c>
      <c r="C3" s="3">
        <v>0.42</v>
      </c>
      <c r="D3" s="4">
        <v>47.88</v>
      </c>
      <c r="E3" s="5">
        <v>3296</v>
      </c>
      <c r="F3" s="6">
        <f>1.18</f>
        <v>1.18</v>
      </c>
      <c r="G3" s="4">
        <v>5.9</v>
      </c>
      <c r="H3" s="5">
        <v>1769</v>
      </c>
      <c r="I3" s="5">
        <v>282</v>
      </c>
      <c r="J3" s="6">
        <f>11.67</f>
        <v>11.67</v>
      </c>
      <c r="K3" s="2">
        <v>199.9</v>
      </c>
      <c r="L3" s="2">
        <v>89.9</v>
      </c>
    </row>
    <row r="4" spans="1:12" ht="15.75" x14ac:dyDescent="0.25">
      <c r="A4" s="2" t="s">
        <v>10</v>
      </c>
      <c r="B4" s="2" t="s">
        <v>14</v>
      </c>
      <c r="C4" s="3">
        <v>0.44</v>
      </c>
      <c r="D4" s="4">
        <v>47.87</v>
      </c>
      <c r="E4" s="5">
        <v>3508</v>
      </c>
      <c r="F4" s="4">
        <v>1.25</v>
      </c>
      <c r="G4" s="4">
        <v>6.52</v>
      </c>
      <c r="H4" s="5">
        <v>1830</v>
      </c>
      <c r="I4" s="5">
        <v>312</v>
      </c>
      <c r="J4" s="4">
        <v>11.24</v>
      </c>
      <c r="K4" s="2">
        <v>199.9</v>
      </c>
      <c r="L4" s="2">
        <v>89.9</v>
      </c>
    </row>
    <row r="5" spans="1:12" ht="15.75" x14ac:dyDescent="0.25">
      <c r="A5" s="2" t="s">
        <v>10</v>
      </c>
      <c r="B5" s="2" t="s">
        <v>14</v>
      </c>
      <c r="C5" s="3">
        <v>0.46</v>
      </c>
      <c r="D5" s="4">
        <v>47.86</v>
      </c>
      <c r="E5" s="5">
        <v>3729</v>
      </c>
      <c r="F5" s="4">
        <v>1.33</v>
      </c>
      <c r="G5" s="4">
        <v>7.1</v>
      </c>
      <c r="H5" s="5">
        <v>1893</v>
      </c>
      <c r="I5" s="5">
        <v>340</v>
      </c>
      <c r="J5" s="4">
        <v>10.97</v>
      </c>
      <c r="K5" s="2">
        <v>199.9</v>
      </c>
      <c r="L5" s="2">
        <v>89.9</v>
      </c>
    </row>
    <row r="6" spans="1:12" ht="15.75" x14ac:dyDescent="0.25">
      <c r="A6" s="2" t="s">
        <v>10</v>
      </c>
      <c r="B6" s="2" t="s">
        <v>14</v>
      </c>
      <c r="C6" s="3">
        <v>0.48</v>
      </c>
      <c r="D6" s="4">
        <v>47.85</v>
      </c>
      <c r="E6" s="5">
        <v>4020</v>
      </c>
      <c r="F6" s="6">
        <f>1.42</f>
        <v>1.42</v>
      </c>
      <c r="G6" s="4">
        <v>7.72</v>
      </c>
      <c r="H6" s="5">
        <v>1961</v>
      </c>
      <c r="I6" s="5">
        <v>369</v>
      </c>
      <c r="J6" s="4">
        <v>10.88</v>
      </c>
      <c r="K6" s="2">
        <v>199.9</v>
      </c>
      <c r="L6" s="2">
        <v>89.9</v>
      </c>
    </row>
    <row r="7" spans="1:12" ht="15.75" x14ac:dyDescent="0.25">
      <c r="A7" s="2" t="s">
        <v>10</v>
      </c>
      <c r="B7" s="2" t="s">
        <v>14</v>
      </c>
      <c r="C7" s="3">
        <v>0.5</v>
      </c>
      <c r="D7" s="4">
        <v>47.84</v>
      </c>
      <c r="E7" s="5">
        <v>4278</v>
      </c>
      <c r="F7" s="4">
        <v>1.52</v>
      </c>
      <c r="G7" s="4">
        <v>8.4600000000000009</v>
      </c>
      <c r="H7" s="5">
        <v>2024</v>
      </c>
      <c r="I7" s="5">
        <v>405</v>
      </c>
      <c r="J7" s="4">
        <v>10.57</v>
      </c>
      <c r="K7" s="2">
        <v>199.9</v>
      </c>
      <c r="L7" s="2">
        <v>89.9</v>
      </c>
    </row>
    <row r="8" spans="1:12" ht="15.75" x14ac:dyDescent="0.25">
      <c r="A8" s="2" t="s">
        <v>10</v>
      </c>
      <c r="B8" s="2" t="s">
        <v>14</v>
      </c>
      <c r="C8" s="3">
        <v>0.52</v>
      </c>
      <c r="D8" s="4">
        <v>47.82</v>
      </c>
      <c r="E8" s="6">
        <f>4616</f>
        <v>4616</v>
      </c>
      <c r="F8" s="6">
        <f>1.65</f>
        <v>1.65</v>
      </c>
      <c r="G8" s="4">
        <v>9.41</v>
      </c>
      <c r="H8" s="6">
        <f>2104</f>
        <v>2104</v>
      </c>
      <c r="I8" s="5">
        <v>450</v>
      </c>
      <c r="J8" s="4">
        <v>10.26</v>
      </c>
      <c r="K8" s="2">
        <v>199.9</v>
      </c>
      <c r="L8" s="2">
        <v>89.9</v>
      </c>
    </row>
    <row r="9" spans="1:12" ht="15.75" x14ac:dyDescent="0.25">
      <c r="A9" s="2" t="s">
        <v>10</v>
      </c>
      <c r="B9" s="2" t="s">
        <v>14</v>
      </c>
      <c r="C9" s="3">
        <v>0.54</v>
      </c>
      <c r="D9" s="4">
        <v>47.8</v>
      </c>
      <c r="E9" s="5">
        <v>4902</v>
      </c>
      <c r="F9" s="6">
        <f>1.75</f>
        <v>1.75</v>
      </c>
      <c r="G9" s="4">
        <v>10.33</v>
      </c>
      <c r="H9" s="6">
        <f>2176</f>
        <v>2176</v>
      </c>
      <c r="I9" s="5">
        <v>494</v>
      </c>
      <c r="J9" s="4">
        <v>9.93</v>
      </c>
      <c r="K9" s="2">
        <v>199.9</v>
      </c>
      <c r="L9" s="2">
        <v>89.9</v>
      </c>
    </row>
    <row r="10" spans="1:12" ht="15.75" x14ac:dyDescent="0.25">
      <c r="A10" s="2" t="s">
        <v>10</v>
      </c>
      <c r="B10" s="2" t="s">
        <v>14</v>
      </c>
      <c r="C10" s="3">
        <v>0.56000000000000005</v>
      </c>
      <c r="D10" s="4">
        <v>47.78</v>
      </c>
      <c r="E10" s="5">
        <v>5361</v>
      </c>
      <c r="F10" s="4">
        <v>1.91</v>
      </c>
      <c r="G10" s="4">
        <v>11.58</v>
      </c>
      <c r="H10" s="5">
        <v>2271</v>
      </c>
      <c r="I10" s="5">
        <v>553</v>
      </c>
      <c r="J10" s="4">
        <v>9.69</v>
      </c>
      <c r="K10" s="2">
        <v>199.9</v>
      </c>
      <c r="L10" s="2">
        <v>89.9</v>
      </c>
    </row>
    <row r="11" spans="1:12" ht="15.75" x14ac:dyDescent="0.25">
      <c r="A11" s="2" t="s">
        <v>10</v>
      </c>
      <c r="B11" s="2" t="s">
        <v>14</v>
      </c>
      <c r="C11" s="3">
        <v>0.57999999999999996</v>
      </c>
      <c r="D11" s="4">
        <v>47.76</v>
      </c>
      <c r="E11" s="5">
        <v>5729</v>
      </c>
      <c r="F11" s="4">
        <v>2.04</v>
      </c>
      <c r="G11" s="4">
        <v>12.68</v>
      </c>
      <c r="H11" s="5">
        <v>2345</v>
      </c>
      <c r="I11" s="5">
        <v>606</v>
      </c>
      <c r="J11" s="4">
        <v>9.4600000000000009</v>
      </c>
      <c r="K11" s="2">
        <v>199.9</v>
      </c>
      <c r="L11" s="2">
        <v>89.9</v>
      </c>
    </row>
    <row r="12" spans="1:12" ht="15.75" x14ac:dyDescent="0.25">
      <c r="A12" s="2" t="s">
        <v>10</v>
      </c>
      <c r="B12" s="2" t="s">
        <v>14</v>
      </c>
      <c r="C12" s="3">
        <v>0.6</v>
      </c>
      <c r="D12" s="4">
        <v>47.73</v>
      </c>
      <c r="E12" s="5">
        <v>6189</v>
      </c>
      <c r="F12" s="4">
        <v>2.19</v>
      </c>
      <c r="G12" s="4">
        <v>14.14</v>
      </c>
      <c r="H12" s="5">
        <v>2434</v>
      </c>
      <c r="I12" s="5">
        <v>675</v>
      </c>
      <c r="J12" s="4">
        <v>9.17</v>
      </c>
      <c r="K12" s="2">
        <v>199.9</v>
      </c>
      <c r="L12" s="2">
        <v>89.9</v>
      </c>
    </row>
    <row r="13" spans="1:12" ht="15.75" x14ac:dyDescent="0.25">
      <c r="A13" s="2" t="s">
        <v>10</v>
      </c>
      <c r="B13" s="2" t="s">
        <v>14</v>
      </c>
      <c r="C13" s="3">
        <v>0.62</v>
      </c>
      <c r="D13" s="4">
        <v>47.71</v>
      </c>
      <c r="E13" s="5">
        <v>6526</v>
      </c>
      <c r="F13" s="4">
        <v>2.31</v>
      </c>
      <c r="G13" s="4">
        <v>15.38</v>
      </c>
      <c r="H13" s="5">
        <v>2506</v>
      </c>
      <c r="I13" s="5">
        <v>734</v>
      </c>
      <c r="J13" s="4">
        <v>8.9</v>
      </c>
      <c r="K13" s="2">
        <v>199.9</v>
      </c>
      <c r="L13" s="2">
        <v>89.9</v>
      </c>
    </row>
    <row r="14" spans="1:12" ht="15.75" x14ac:dyDescent="0.25">
      <c r="A14" s="2" t="s">
        <v>10</v>
      </c>
      <c r="B14" s="2" t="s">
        <v>14</v>
      </c>
      <c r="C14" s="3">
        <v>0.64</v>
      </c>
      <c r="D14" s="4">
        <v>47.68</v>
      </c>
      <c r="E14" s="5">
        <v>6969</v>
      </c>
      <c r="F14" s="4">
        <v>2.4700000000000002</v>
      </c>
      <c r="G14" s="4">
        <v>16.86</v>
      </c>
      <c r="H14" s="5">
        <v>2580</v>
      </c>
      <c r="I14" s="5">
        <v>804</v>
      </c>
      <c r="J14" s="4">
        <v>8.67</v>
      </c>
      <c r="K14" s="2">
        <v>199.9</v>
      </c>
      <c r="L14" s="2">
        <v>89.9</v>
      </c>
    </row>
    <row r="15" spans="1:12" ht="15.75" x14ac:dyDescent="0.25">
      <c r="A15" s="2" t="s">
        <v>10</v>
      </c>
      <c r="B15" s="2" t="s">
        <v>14</v>
      </c>
      <c r="C15" s="3">
        <v>0.66</v>
      </c>
      <c r="D15" s="4">
        <v>47.65</v>
      </c>
      <c r="E15" s="5">
        <v>7363</v>
      </c>
      <c r="F15" s="4">
        <v>2.61</v>
      </c>
      <c r="G15" s="4">
        <v>18.14</v>
      </c>
      <c r="H15" s="5">
        <v>2650</v>
      </c>
      <c r="I15" s="5">
        <v>864</v>
      </c>
      <c r="J15" s="4">
        <v>8.52</v>
      </c>
      <c r="K15" s="2">
        <v>199.9</v>
      </c>
      <c r="L15" s="2">
        <v>89.9</v>
      </c>
    </row>
    <row r="16" spans="1:12" ht="15.75" x14ac:dyDescent="0.25">
      <c r="A16" s="2" t="s">
        <v>10</v>
      </c>
      <c r="B16" s="2" t="s">
        <v>14</v>
      </c>
      <c r="C16" s="3">
        <v>0.68</v>
      </c>
      <c r="D16" s="4">
        <v>47.63</v>
      </c>
      <c r="E16" s="5">
        <v>7719</v>
      </c>
      <c r="F16" s="4">
        <v>2.73</v>
      </c>
      <c r="G16" s="4">
        <v>19.5</v>
      </c>
      <c r="H16" s="6">
        <f>2719</f>
        <v>2719</v>
      </c>
      <c r="I16" s="5">
        <v>929</v>
      </c>
      <c r="J16" s="4">
        <v>8.31</v>
      </c>
      <c r="K16" s="2">
        <v>199.9</v>
      </c>
      <c r="L16" s="2">
        <v>89.9</v>
      </c>
    </row>
    <row r="17" spans="1:12" ht="15.75" x14ac:dyDescent="0.25">
      <c r="A17" s="2" t="s">
        <v>10</v>
      </c>
      <c r="B17" s="2" t="s">
        <v>14</v>
      </c>
      <c r="C17" s="3">
        <v>0.7</v>
      </c>
      <c r="D17" s="4">
        <v>47.6</v>
      </c>
      <c r="E17" s="5">
        <v>8132</v>
      </c>
      <c r="F17" s="4">
        <v>2.88</v>
      </c>
      <c r="G17" s="4">
        <v>21.1</v>
      </c>
      <c r="H17" s="5">
        <v>2782</v>
      </c>
      <c r="I17" s="5">
        <v>1004</v>
      </c>
      <c r="J17" s="4">
        <v>8.1</v>
      </c>
      <c r="K17" s="2">
        <v>199.9</v>
      </c>
      <c r="L17" s="2">
        <v>89.9</v>
      </c>
    </row>
    <row r="18" spans="1:12" ht="15.75" x14ac:dyDescent="0.25">
      <c r="A18" s="2" t="s">
        <v>10</v>
      </c>
      <c r="B18" s="2" t="s">
        <v>14</v>
      </c>
      <c r="C18" s="3">
        <v>0.76</v>
      </c>
      <c r="D18" s="4">
        <v>47.51</v>
      </c>
      <c r="E18" s="5">
        <v>9395</v>
      </c>
      <c r="F18" s="4">
        <v>3.34</v>
      </c>
      <c r="G18" s="4">
        <v>26.16</v>
      </c>
      <c r="H18" s="5">
        <v>2987</v>
      </c>
      <c r="I18" s="5">
        <v>1243</v>
      </c>
      <c r="J18" s="4">
        <v>7.56</v>
      </c>
      <c r="K18" s="2">
        <v>199.9</v>
      </c>
      <c r="L18" s="2">
        <v>89.9</v>
      </c>
    </row>
    <row r="19" spans="1:12" ht="15.75" x14ac:dyDescent="0.25">
      <c r="A19" s="2" t="s">
        <v>10</v>
      </c>
      <c r="B19" s="2" t="s">
        <v>14</v>
      </c>
      <c r="C19" s="3">
        <v>0.82</v>
      </c>
      <c r="D19" s="4">
        <v>47.41</v>
      </c>
      <c r="E19" s="5">
        <v>10618</v>
      </c>
      <c r="F19" s="4">
        <v>3.78</v>
      </c>
      <c r="G19" s="4">
        <v>31.59</v>
      </c>
      <c r="H19" s="5">
        <v>3174</v>
      </c>
      <c r="I19" s="5">
        <v>1498</v>
      </c>
      <c r="J19" s="4">
        <v>7.09</v>
      </c>
      <c r="K19" s="2">
        <v>199.9</v>
      </c>
      <c r="L19" s="2">
        <v>89.9</v>
      </c>
    </row>
    <row r="20" spans="1:12" ht="15.75" x14ac:dyDescent="0.25">
      <c r="A20" s="2" t="s">
        <v>10</v>
      </c>
      <c r="B20" s="2" t="s">
        <v>14</v>
      </c>
      <c r="C20" s="3">
        <v>0.88</v>
      </c>
      <c r="D20" s="4">
        <v>47.32</v>
      </c>
      <c r="E20" s="5">
        <v>11833</v>
      </c>
      <c r="F20" s="4">
        <v>4.22</v>
      </c>
      <c r="G20" s="4">
        <v>37.159999999999997</v>
      </c>
      <c r="H20" s="5">
        <v>3350</v>
      </c>
      <c r="I20" s="5">
        <v>1758</v>
      </c>
      <c r="J20" s="4">
        <v>6.73</v>
      </c>
      <c r="K20" s="2">
        <v>199.9</v>
      </c>
      <c r="L20" s="2">
        <v>89.9</v>
      </c>
    </row>
    <row r="21" spans="1:12" ht="15.75" x14ac:dyDescent="0.25">
      <c r="A21" s="2" t="s">
        <v>10</v>
      </c>
      <c r="B21" s="2" t="s">
        <v>14</v>
      </c>
      <c r="C21" s="3">
        <v>0.94</v>
      </c>
      <c r="D21" s="4">
        <v>47.21</v>
      </c>
      <c r="E21" s="5">
        <v>13009</v>
      </c>
      <c r="F21" s="4">
        <v>4.6399999999999997</v>
      </c>
      <c r="G21" s="4">
        <v>43.34</v>
      </c>
      <c r="H21" s="5">
        <v>3515</v>
      </c>
      <c r="I21" s="5">
        <v>2046</v>
      </c>
      <c r="J21" s="4">
        <v>6.36</v>
      </c>
      <c r="K21" s="2">
        <v>199.9</v>
      </c>
      <c r="L21" s="2">
        <v>89.9</v>
      </c>
    </row>
    <row r="22" spans="1:12" ht="15.75" x14ac:dyDescent="0.25">
      <c r="A22" s="2" t="s">
        <v>10</v>
      </c>
      <c r="B22" s="2" t="s">
        <v>14</v>
      </c>
      <c r="C22" s="3">
        <v>1</v>
      </c>
      <c r="D22" s="4">
        <v>47.09</v>
      </c>
      <c r="E22" s="5">
        <v>14371</v>
      </c>
      <c r="F22" s="4">
        <v>5.13</v>
      </c>
      <c r="G22" s="4">
        <v>50.42</v>
      </c>
      <c r="H22" s="5">
        <v>3686</v>
      </c>
      <c r="I22" s="5">
        <v>2374</v>
      </c>
      <c r="J22" s="4">
        <v>6.05</v>
      </c>
      <c r="K22" s="2">
        <v>199.9</v>
      </c>
      <c r="L22" s="2">
        <v>89.9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KV 100 - GF30-10.5</vt:lpstr>
      <vt:lpstr>KV 100 - MF3016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2022-05-21T13:18:51Z</dcterms:modified>
</cp:coreProperties>
</file>